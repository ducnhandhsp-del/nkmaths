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uongDan" sheetId="1" r:id="rId5"/>
    <sheet state="visible" name="DanhMuc" sheetId="2" r:id="rId6"/>
    <sheet state="visible" name="Config" sheetId="3" r:id="rId7"/>
    <sheet state="visible" name="HocSinh" sheetId="4" r:id="rId8"/>
    <sheet state="visible" name="GiaoVien" sheetId="5" r:id="rId9"/>
    <sheet state="visible" name="LopHoc" sheetId="6" r:id="rId10"/>
    <sheet state="visible" name="DangKyLop" sheetId="7" r:id="rId11"/>
    <sheet state="visible" name="BuoiHoc" sheetId="8" r:id="rId12"/>
    <sheet state="visible" name="DiemDanh" sheetId="9" r:id="rId13"/>
    <sheet state="visible" name="HocPhi" sheetId="10" r:id="rId14"/>
    <sheet state="visible" name="ChiPhi" sheetId="11" r:id="rId15"/>
    <sheet state="visible" name="NghiHoc" sheetId="12" r:id="rId16"/>
    <sheet state="visible" name="NhatKyHeThong" sheetId="13" r:id="rId17"/>
  </sheets>
  <definedNames>
    <definedName hidden="1" localSheetId="1" name="_xlnm._FilterDatabase">DanhMuc!$A$1:$N$8</definedName>
    <definedName hidden="1" localSheetId="2" name="_xlnm._FilterDatabase">Config!$A$1:$E$5</definedName>
    <definedName hidden="1" localSheetId="3" name="_xlnm._FilterDatabase">HocSinh!$A$1:$U$32</definedName>
    <definedName hidden="1" localSheetId="4" name="_xlnm._FilterDatabase">GiaoVien!$A$1:$L$2</definedName>
    <definedName hidden="1" localSheetId="5" name="_xlnm._FilterDatabase">LopHoc!$A$1:$P$5</definedName>
    <definedName hidden="1" localSheetId="6" name="_xlnm._FilterDatabase">DangKyLop!$A$1:$I$32</definedName>
    <definedName hidden="1" localSheetId="7" name="_xlnm._FilterDatabase">BuoiHoc!$A$1:$K$3</definedName>
    <definedName hidden="1" localSheetId="8" name="_xlnm._FilterDatabase">DiemDanh!$A$1:$F$18</definedName>
    <definedName hidden="1" localSheetId="9" name="_xlnm._FilterDatabase">HocPhi!$A$1:$N$2</definedName>
    <definedName hidden="1" localSheetId="12" name="_xlnm._FilterDatabase">NhatKyHeThong!$A$1:$H$96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Ghi chú ngắn gọn, phục vụ vận hành nội bộ.</t>
      </text>
    </comment>
    <comment authorId="0" ref="E1">
      <text>
        <t xml:space="preserve">Nên nhập ngày dạng DD/MM/YYYY để app đọc ổn định.</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Nên nhập ngày dạng DD/MM/YYYY để app đọc ổn định.</t>
      </text>
    </comment>
    <comment authorId="0" ref="T1">
      <text>
        <t xml:space="preserve">Nên nhập ngày dạng DD/MM/YYYY để app đọc ổn định.</t>
      </text>
    </comment>
    <comment authorId="0" ref="U1">
      <text>
        <t xml:space="preserve">Nên nhập ngày dạng DD/MM/YYYY để app đọc ổn định.</t>
      </text>
    </comment>
    <comment authorId="0" ref="H1">
      <text>
        <t xml:space="preserve">Nhập dạng text để giữ số 0 đầu. Ví dụ 0987654321.</t>
      </text>
    </comment>
    <comment authorId="0" ref="I1">
      <text>
        <t xml:space="preserve">Nhập dạng text để giữ số 0 đầu. Ví dụ 0987654321.</t>
      </text>
    </comment>
    <comment authorId="0" ref="O1">
      <text>
        <t xml:space="preserve">Nên nhập ngày dạng DD/MM/YYYY để app đọc ổn định.</t>
      </text>
    </comment>
    <comment authorId="0" ref="P1">
      <text>
        <t xml:space="preserve">Nên nhập ngày dạng DD/MM/YYYY để app đọc ổn định.</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Nhập dạng text để giữ số 0 đầu. Ví dụ 0987654321.</t>
      </text>
    </comment>
    <comment authorId="0" ref="H1">
      <text>
        <t xml:space="preserve">Nhập số thuần, không nhập chữ đ. Sheet sẽ tự hiển thị định dạng tiền.</t>
      </text>
    </comment>
    <comment authorId="0" ref="K1">
      <text>
        <t xml:space="preserve">Nên nhập ngày dạng DD/MM/YYYY để app đọc ổn định.</t>
      </text>
    </comment>
    <comment authorId="0" ref="L1">
      <text>
        <t xml:space="preserve">Nên nhập ngày dạng DD/MM/YYYY để app đọc ổn định.</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Nên nhập ngày dạng DD/MM/YYYY để app đọc ổn định.</t>
      </text>
    </comment>
    <comment authorId="0" ref="M1">
      <text>
        <t xml:space="preserve">Nên nhập ngày dạng DD/MM/YYYY để app đọc ổn định.</t>
      </text>
    </comment>
    <comment authorId="0" ref="O1">
      <text>
        <t xml:space="preserve">Nên nhập ngày dạng DD/MM/YYYY để app đọc ổn định.</t>
      </text>
    </comment>
    <comment authorId="0" ref="P1">
      <text>
        <t xml:space="preserve">Nên nhập ngày dạng DD/MM/YYYY để app đọc ổn định.</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Nên nhập ngày dạng DD/MM/YYYY để app đọc ổn định.</t>
      </text>
    </comment>
    <comment authorId="0" ref="E1">
      <text>
        <t xml:space="preserve">Nên nhập ngày dạng DD/MM/YYYY để app đọc ổn định.</t>
      </text>
    </comment>
    <comment authorId="0" ref="H1">
      <text>
        <t xml:space="preserve">Nên nhập ngày dạng DD/MM/YYYY để app đọc ổn định.</t>
      </text>
    </comment>
    <comment authorId="0" ref="I1">
      <text>
        <t xml:space="preserve">Nên nhập ngày dạng DD/MM/YYYY để app đọc ổn định.</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Nên nhập ngày dạng DD/MM/YYYY để app đọc ổn định.</t>
      </text>
    </comment>
    <comment authorId="0" ref="J1">
      <text>
        <t xml:space="preserve">Nên nhập ngày dạng DD/MM/YYYY để app đọc ổn định.</t>
      </text>
    </comment>
    <comment authorId="0" ref="K1">
      <text>
        <t xml:space="preserve">Nên nhập ngày dạng DD/MM/YYYY để app đọc ổn định.</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Nên nhập ngày dạng DD/MM/YYYY để app đọc ổn định.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Nên nhập ngày dạng DD/MM/YYYY để app đọc ổn định.</t>
      </text>
    </comment>
    <comment authorId="0" ref="M1">
      <text>
        <t xml:space="preserve">Nên nhập ngày dạng DD/MM/YYYY để app đọc ổn định.</t>
      </text>
    </comment>
    <comment authorId="0" ref="N1">
      <text>
        <t xml:space="preserve">Nên nhập ngày dạng DD/MM/YYYY để app đọc ổn định.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Nên nhập ngày dạng DD/MM/YYYY để app đọc ổn định.</t>
      </text>
    </comment>
    <comment authorId="0" ref="K1">
      <text>
        <t xml:space="preserve">Nên nhập ngày dạng DD/MM/YYYY để app đọc ổn định.</t>
      </text>
    </comment>
    <comment authorId="0" ref="L1">
      <text>
        <t xml:space="preserve">Nên nhập ngày dạng DD/MM/YYYY để app đọc ổn định.</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Nên nhập ngày dạng DD/MM/YYYY để app đọc ổn định.</t>
      </text>
    </comment>
    <comment authorId="0" ref="I1">
      <text>
        <t xml:space="preserve">Nên nhập ngày dạng DD/MM/YYYY để app đọc ổn định.</t>
      </text>
    </comment>
    <comment authorId="0" ref="J1">
      <text>
        <t xml:space="preserve">Nên nhập ngày dạng DD/MM/YYYY để app đọc ổn định.</t>
      </text>
    </comment>
  </commentList>
</comments>
</file>

<file path=xl/sharedStrings.xml><?xml version="1.0" encoding="utf-8"?>
<sst xmlns="http://schemas.openxmlformats.org/spreadsheetml/2006/main" count="1611" uniqueCount="803">
  <si>
    <t>LỚP TOÁN NK - SHEET NGUỒN</t>
  </si>
  <si>
    <t>Nguyên tắc nhập liệu</t>
  </si>
  <si>
    <t>Giữ nguyên tên cột. Không đổi mã HS, mã lớp, mã GV sau khi đã phát sinh dữ liệu. Ngày dùng DD/MM/YYYY. Số điện thoại nhập dạng text để giữ số 0 đầu.</t>
  </si>
  <si>
    <t>Sheet</t>
  </si>
  <si>
    <t>Mục đích</t>
  </si>
  <si>
    <t>Ghi chú</t>
  </si>
  <si>
    <t>Các sheet chính</t>
  </si>
  <si>
    <t>HocSinh, GiaoVien, LopHoc, BuoiHoc, DiemDanh, HocPhi, ChiPhi là nguồn dữ liệu app đang đọc.</t>
  </si>
  <si>
    <t>Config</t>
  </si>
  <si>
    <t>Cấu hình chung</t>
  </si>
  <si>
    <t>Có sẵn vài dòng mẫu</t>
  </si>
  <si>
    <t>Lớp</t>
  </si>
  <si>
    <t>App dùng Mã Lớp làm trường Lớp. Không cần nhập trùng Tên Lớp nếu không có nhu cầu riêng.</t>
  </si>
  <si>
    <t>HocSinh</t>
  </si>
  <si>
    <t>Hồ sơ học sinh</t>
  </si>
  <si>
    <t>Không lưu MaLop cố định; lớp lấy từ DangKyLop</t>
  </si>
  <si>
    <t>Ngày tháng</t>
  </si>
  <si>
    <t>Dùng định dạng DD/MM/YYYY. Không nhập dạng HH:mm - DD/MM/YYYY trong các cột ngày.</t>
  </si>
  <si>
    <t>GiaoVien</t>
  </si>
  <si>
    <t>Hồ sơ giáo viên</t>
  </si>
  <si>
    <t>Có DonGiaMoiBuoi/LuongCoBan/PhuCap để sẵn cho tính lương</t>
  </si>
  <si>
    <t>Trạng thái</t>
  </si>
  <si>
    <t>Dùng mã tiếng Anh như active, inactive, completed, paid... App sẽ hiển thị tiếng Việt.</t>
  </si>
  <si>
    <t>LopHoc</t>
  </si>
  <si>
    <t>Thông tin lớp học</t>
  </si>
  <si>
    <t>Lưu MaGV, lịch học, học phí mặc định</t>
  </si>
  <si>
    <t>Nguyên tắc</t>
  </si>
  <si>
    <t>Không lưu trùng dữ liệu nếu có thể suy ra qua mã định danh. App và Apps Script sẽ join dữ liệu khi hiển thị.</t>
  </si>
  <si>
    <t>DangKyLop</t>
  </si>
  <si>
    <t>Quan hệ học sinh - lớp</t>
  </si>
  <si>
    <t>Quản lý vào lớp/chuyển lớp/nghỉ</t>
  </si>
  <si>
    <t>Điểm danh</t>
  </si>
  <si>
    <t>UI nên mặc định tất cả Có mặt; khi lưu Apps Script ghi đủ từng học sinh vào sheet DiemDanh.</t>
  </si>
  <si>
    <t>BuoiHoc</t>
  </si>
  <si>
    <t>Từng buổi học</t>
  </si>
  <si>
    <t>Trung tâm vận hành, có MaBuoi</t>
  </si>
  <si>
    <t>DiemDanh</t>
  </si>
  <si>
    <t>Điểm danh từng học sinh theo buổi</t>
  </si>
  <si>
    <t>Gắn MaBuoi, không lặp Ngay/MaLop/HoTen</t>
  </si>
  <si>
    <t>HocPhi</t>
  </si>
  <si>
    <t>Phiếu thu học phí</t>
  </si>
  <si>
    <t>Có ThangHP/NamHP rõ ràng</t>
  </si>
  <si>
    <t>ChiPhi</t>
  </si>
  <si>
    <t>Phiếu chi</t>
  </si>
  <si>
    <t>Có thể gắn MaLop/MaGV nếu cần</t>
  </si>
  <si>
    <t>NghiHoc</t>
  </si>
  <si>
    <t>Yêu cầu nghỉ học</t>
  </si>
  <si>
    <t>Chuẩn bị cho nghỉ có phép/học bù sau</t>
  </si>
  <si>
    <t>NhatKyHeThong</t>
  </si>
  <si>
    <t>Log thao tác</t>
  </si>
  <si>
    <t>Truy vết save/update/delete</t>
  </si>
  <si>
    <t>DanhMuc</t>
  </si>
  <si>
    <t>Danh mục dropdown</t>
  </si>
  <si>
    <t>Không nhập dữ liệu nghiệp vụ ở đây</t>
  </si>
  <si>
    <t>StudentStatus</t>
  </si>
  <si>
    <t>TeacherStatus</t>
  </si>
  <si>
    <t>ClassStatus</t>
  </si>
  <si>
    <t>LessonStatus</t>
  </si>
  <si>
    <t>AttendanceStatus</t>
  </si>
  <si>
    <t>PaymentStatus</t>
  </si>
  <si>
    <t>PaymentMethod</t>
  </si>
  <si>
    <t>ExpenseCategory</t>
  </si>
  <si>
    <t>LeaveStatus</t>
  </si>
  <si>
    <t>LeaveReporter</t>
  </si>
  <si>
    <t>Grade</t>
  </si>
  <si>
    <t>CaDay</t>
  </si>
  <si>
    <t>RegistrationStatus</t>
  </si>
  <si>
    <t>ExpenseStatus</t>
  </si>
  <si>
    <t>active</t>
  </si>
  <si>
    <t>scheduled</t>
  </si>
  <si>
    <t>present</t>
  </si>
  <si>
    <t>paid</t>
  </si>
  <si>
    <t>cash</t>
  </si>
  <si>
    <t>In ấn</t>
  </si>
  <si>
    <t>pending</t>
  </si>
  <si>
    <t>parent</t>
  </si>
  <si>
    <t>7h30</t>
  </si>
  <si>
    <t>inactive</t>
  </si>
  <si>
    <t>paused</t>
  </si>
  <si>
    <t>completed</t>
  </si>
  <si>
    <t>absent</t>
  </si>
  <si>
    <t>partial</t>
  </si>
  <si>
    <t>bank</t>
  </si>
  <si>
    <t>Thiết bị</t>
  </si>
  <si>
    <t>approved</t>
  </si>
  <si>
    <t>student</t>
  </si>
  <si>
    <t>9h</t>
  </si>
  <si>
    <t>cancelled</t>
  </si>
  <si>
    <t>onleave</t>
  </si>
  <si>
    <t>finished</t>
  </si>
  <si>
    <t>missing_attendance</t>
  </si>
  <si>
    <t>late</t>
  </si>
  <si>
    <t>momo</t>
  </si>
  <si>
    <t>Thuê phòng</t>
  </si>
  <si>
    <t>rejected</t>
  </si>
  <si>
    <t>teacher</t>
  </si>
  <si>
    <t>13h30</t>
  </si>
  <si>
    <t>transferred</t>
  </si>
  <si>
    <t>trial</t>
  </si>
  <si>
    <t>excused</t>
  </si>
  <si>
    <t>refunded</t>
  </si>
  <si>
    <t>other</t>
  </si>
  <si>
    <t>Lương GV</t>
  </si>
  <si>
    <t>admin</t>
  </si>
  <si>
    <t>15h30</t>
  </si>
  <si>
    <t>Marketing</t>
  </si>
  <si>
    <t>17h30</t>
  </si>
  <si>
    <t>Khác</t>
  </si>
  <si>
    <t>19h30</t>
  </si>
  <si>
    <t>Key</t>
  </si>
  <si>
    <t>Value</t>
  </si>
  <si>
    <t>Group</t>
  </si>
  <si>
    <t>Note</t>
  </si>
  <si>
    <t>UpdatedAt</t>
  </si>
  <si>
    <t>schoolYear</t>
  </si>
  <si>
    <t>2026-2027</t>
  </si>
  <si>
    <t>general</t>
  </si>
  <si>
    <t>Năm học hiện tại</t>
  </si>
  <si>
    <t>baseTuition</t>
  </si>
  <si>
    <t>finance</t>
  </si>
  <si>
    <t>Học phí mặc định nếu lớp chưa cấu hình</t>
  </si>
  <si>
    <t>caDayOptions</t>
  </si>
  <si>
    <t>7h30,9h,13h30,15h30,17h30,19h30</t>
  </si>
  <si>
    <t>schedule</t>
  </si>
  <si>
    <t>Ca dạy chuẩn</t>
  </si>
  <si>
    <t>defaultBranch</t>
  </si>
  <si>
    <t>Cơ sở mặc định nếu cần</t>
  </si>
  <si>
    <t>MaHS</t>
  </si>
  <si>
    <t>HoTen</t>
  </si>
  <si>
    <t>NgaySinh</t>
  </si>
  <si>
    <t>CoSo</t>
  </si>
  <si>
    <t>Khoi</t>
  </si>
  <si>
    <t>Truong</t>
  </si>
  <si>
    <t>TenPhuHuynh</t>
  </si>
  <si>
    <t>SDTPhuHuynh</t>
  </si>
  <si>
    <t>SDTHocSinh</t>
  </si>
  <si>
    <t>DiaChi</t>
  </si>
  <si>
    <t>HocLucToan</t>
  </si>
  <si>
    <t>MucTieu</t>
  </si>
  <si>
    <t>CanHoTro</t>
  </si>
  <si>
    <t>TrangThai</t>
  </si>
  <si>
    <t>NgayBatDau</t>
  </si>
  <si>
    <t>NgayKetThuc</t>
  </si>
  <si>
    <t>LyDoNghi</t>
  </si>
  <si>
    <t>FacebookURL</t>
  </si>
  <si>
    <t>GhiChu</t>
  </si>
  <si>
    <t>CreatedAt</t>
  </si>
  <si>
    <t>HS002</t>
  </si>
  <si>
    <t>Hoàng Nhã Phương</t>
  </si>
  <si>
    <t>Đào Tấn</t>
  </si>
  <si>
    <t>THCS Nguyễn Thị Minh Khai</t>
  </si>
  <si>
    <t>Hoàng Thị Thu Hương</t>
  </si>
  <si>
    <t>Nguồn: Zalo. Ghi chú: Bận T4 17h30-19h, T7 17h30-19h, CN 17h30-21h. Lưu ý NTP: 8,75 điểm dò; 6.5 điểm khi phát bài.</t>
  </si>
  <si>
    <t>Nguồn: Zalo. 
Ghi chú: Bận T4 17h30-19h, T7 17h30-19h, CN 17h30-21h. 
Lưu ý NTP: 8,75 điểm dò; 6.5 điểm khi phát bài.</t>
  </si>
  <si>
    <t>08:38:36 - 27/06/2026</t>
  </si>
  <si>
    <t>09:52:18 - 28/06/2026</t>
  </si>
  <si>
    <t>HS003</t>
  </si>
  <si>
    <t>Võ Nguyễn Bình An</t>
  </si>
  <si>
    <t>THCS Duy Tân</t>
  </si>
  <si>
    <t>Nguyễn Thị Ngân</t>
  </si>
  <si>
    <t>Nguồn: Zalo. Ghi chú: Bận T3, T5 7h30-9h học Văn; tối T3 và sáng T7 học Anh. Tối T2,4,6 phụ huynh khó chở. Lưu ý NTP: 8,75 điểm dò; 6.5 điểm khi phát bài.</t>
  </si>
  <si>
    <t>08:38:40 - 27/06/2026</t>
  </si>
  <si>
    <t>08:53:04 - 27/06/2026</t>
  </si>
  <si>
    <t>HS004</t>
  </si>
  <si>
    <t>Đinh Như Cát Tường</t>
  </si>
  <si>
    <t>THCS Nguyễn Tri Phương</t>
  </si>
  <si>
    <t>Chế Thị Mỹ Linh</t>
  </si>
  <si>
    <t>Nguồn: Zalo. Ghi chú: Bận Anh T4 17h30-19h, T6 19h30-21h; Văn T3 17h30-19h, CN 7h30-9h. Lưu ý NTP: 8,75 điểm dò; 6.5 điểm khi phát bài.</t>
  </si>
  <si>
    <t>08:38:43 - 27/06/2026</t>
  </si>
  <si>
    <t>08:53:09 - 27/06/2026</t>
  </si>
  <si>
    <t>HS005</t>
  </si>
  <si>
    <t>Lê Gia Bảo</t>
  </si>
  <si>
    <t>THCS Tố Hữu</t>
  </si>
  <si>
    <t>Hồ Thuỷ</t>
  </si>
  <si>
    <t>Nguồn: Zalo/ảnh giấy tay. Ghi chú: Ảnh giấy tay, cần xác nhận lại lịch cụ thể. Lưu ý NTP: 8,75 điểm dò; 6.5 điểm khi phát bài.</t>
  </si>
  <si>
    <t>08:38:46 - 27/06/2026</t>
  </si>
  <si>
    <t>22:30:28 - 28/06/2026</t>
  </si>
  <si>
    <t>HS006</t>
  </si>
  <si>
    <t>Gia Huy</t>
  </si>
  <si>
    <t>Minh Trang</t>
  </si>
  <si>
    <t>Nguồn: Chưa rõ. Ghi chú: Cần bổ sung lịch học, học lực, SĐT PH. Lưu ý NTP: 8,75 điểm dò; 6.5 điểm khi phát bài.</t>
  </si>
  <si>
    <t>08:38:50 - 27/06/2026</t>
  </si>
  <si>
    <t>08:53:18 - 27/06/2026</t>
  </si>
  <si>
    <t>HS007</t>
  </si>
  <si>
    <t>Lê thị bảo Vy</t>
  </si>
  <si>
    <t>Đặng trần côn</t>
  </si>
  <si>
    <t>Trần thị hường</t>
  </si>
  <si>
    <t>Từ 8 đến 9 điểm</t>
  </si>
  <si>
    <t>Hình học</t>
  </si>
  <si>
    <t>Nguồn: Form khảo sát 24/06/2026. Giờ điền: 24/06/2026 19:03:32. Xếp lớp: 12A (T2-4-6 17h30). Điểm Toán gần nhất: chưa có. Kiến thức yếu: Hình học. Khó khăn: Mau quên. Mục tiêu: Từ 8 đến 9 điểm. Mong muốn: Đạt điểm cao hơn. Cam kết: Em cam kết đi học đúng giờ., Em cam kết làm bài tập được giao., Em cam kết chủ động hỏi lại khi chưa hiểu bài., Em cam kết học tập nghiêm túc và tôn trọng giáo viên, bạn học.</t>
  </si>
  <si>
    <t>08:51:34 - 27/06/2026</t>
  </si>
  <si>
    <t>16:31:06 - 27/06/2026</t>
  </si>
  <si>
    <t>HS008</t>
  </si>
  <si>
    <t>Lê Ngọc Khánh An</t>
  </si>
  <si>
    <t>Trường THPT Gia Hội</t>
  </si>
  <si>
    <t>Hồ Thị Phương Loan</t>
  </si>
  <si>
    <t>cuối kì 2 lớp 11 5điểm</t>
  </si>
  <si>
    <t>Từ 7 đến 8 điểm</t>
  </si>
  <si>
    <t>Tính toán cơ bản, Biến đổi biểu thức, Giải phương trình, Hình học, Đọc hiểu đề bài, Trình bày lời giải, Bài toán vận dụng</t>
  </si>
  <si>
    <t>Nguồn: Form khảo sát 24/06/2026. Giờ điền: 24/06/2026 19:03:52. Xếp lớp: 12A (T2-4-6 17h30). Điểm Toán gần nhất: cuối kì 2 lớp 11 5điểm. Kiến thức yếu: Tính toán cơ bản, Biến đổi biểu thức, Giải phương trình, Hình học, Đọc hiểu đề bài, Trình bày lời giải, Bài toán vận dụng. Khó khăn: dễ quên công thức khó tập trung. Mục tiêu: Từ 7 đến 8 điểm. Mong muốn: muốn học hiểu bài. Cam kết: Em cam kết đi học đúng giờ., Em cam kết làm bài tập được giao., Em cam kết chủ động hỏi lại khi chưa hiểu bài., Em cam kết học tập nghiêm túc và tôn trọng giáo viên, bạn học.</t>
  </si>
  <si>
    <t>08:51:40 - 27/06/2026</t>
  </si>
  <si>
    <t>16:31:09 - 27/06/2026</t>
  </si>
  <si>
    <t>HS009</t>
  </si>
  <si>
    <t>Phạm Trần Nhật Huy</t>
  </si>
  <si>
    <t>THPT Cao Thắng</t>
  </si>
  <si>
    <t>Trần Thị Thúy Hồng</t>
  </si>
  <si>
    <t>Trình bày lời giải</t>
  </si>
  <si>
    <t>Nguồn: Form khảo sát 24/06/2026. Giờ điền: 24/06/2026 19:03:53. Xếp lớp: 12A (T2-4-6 17h30). Điểm Toán gần nhất: 7,5. Kiến thức yếu: Trình bày lời giải. Khó khăn: thiếu tự tin, sợ sai. Mục tiêu: Từ 8 đến 9 điểm. Cam kết: Em cam kết đi học đúng giờ., Em cam kết làm bài tập được giao., Em cam kết chủ động hỏi lại khi chưa hiểu bài., Em cam kết học tập nghiêm túc và tôn trọng giáo viên, bạn học.</t>
  </si>
  <si>
    <t>08:51:44 - 27/06/2026</t>
  </si>
  <si>
    <t>16:31:14 - 27/06/2026</t>
  </si>
  <si>
    <t>HS010</t>
  </si>
  <si>
    <t>Trần Lê Anh Thy</t>
  </si>
  <si>
    <t>TPHT Bùi Thị Xuân</t>
  </si>
  <si>
    <t>Lê Thị Lan Oanh</t>
  </si>
  <si>
    <t>Hình học, Bài toán vận dụng, Khác</t>
  </si>
  <si>
    <t>Nguồn: Form khảo sát 24/06/2026. Giờ điền: 24/06/2026 19:04:17. Xếp lớp: 12A (T2-4-6 17h30). Điểm Toán gần nhất: 6. Kiến thức yếu: Hình học, Bài toán vận dụng, Khác. Khó khăn: Hình học 💔. Mục tiêu: Từ 7 đến 8 điểm. Mong muốn: đạt điểm cao hơn. Cam kết: Em cam kết học tập nghiêm túc và tôn trọng giáo viên, bạn học.</t>
  </si>
  <si>
    <t>08:51:49 - 27/06/2026</t>
  </si>
  <si>
    <t>16:31:18 - 27/06/2026</t>
  </si>
  <si>
    <t>HS011</t>
  </si>
  <si>
    <t>Trương Hoàng Bảo Ngọc</t>
  </si>
  <si>
    <t>TT GDNN-GDTX khu vực 1</t>
  </si>
  <si>
    <t>Hoàng Thị Ngọc Tiên</t>
  </si>
  <si>
    <t>Tính toán cơ bản, Giải phương trình, Hình học</t>
  </si>
  <si>
    <t>Nguồn: Form khảo sát 24/06/2026. Giờ điền: 24/06/2026 19:04:22. Xếp lớp: 12A (T2-4-6 17h30). Điểm Toán gần nhất: 7. Kiến thức yếu: Tính toán cơ bản, Giải phương trình, Hình học. Khó khăn: thiếu tự tin. Mục tiêu: Từ 7 đến 8 điểm. Mong muốn: tự tin hơn. Cam kết: Em cam kết đi học đúng giờ., Em cam kết làm bài tập được giao., Em cam kết chủ động hỏi lại khi chưa hiểu bài., Em cam kết học tập nghiêm túc và tôn trọng giáo viên, bạn học.</t>
  </si>
  <si>
    <t>08:51:52 - 27/06/2026</t>
  </si>
  <si>
    <t>16:31:25 - 27/06/2026</t>
  </si>
  <si>
    <t>HS012</t>
  </si>
  <si>
    <t>Bảo Hân</t>
  </si>
  <si>
    <t>Cao Thắng</t>
  </si>
  <si>
    <t>Võ Thị Loan</t>
  </si>
  <si>
    <t>Hình học, Đọc hiểu đề bài, Bài toán vận dụng</t>
  </si>
  <si>
    <t>Nguồn: Form khảo sát 24/06/2026. Giờ điền: 24/06/2026 19:04:28. Xếp lớp: 12A (T2-4-6 17h30). Điểm Toán gần nhất: 8. Kiến thức yếu: Hình học, Đọc hiểu đề bài, Bài toán vận dụng. Khó khăn: Hình học, Đề Dài. Mục tiêu: Từ 8 đến 9 điểm. Mong muốn: Dễ hiểu, điểm cao. Cam kết: Em cam kết làm bài tập được giao., Em cam kết chủ động hỏi lại khi chưa hiểu bài., Em cam kết học tập nghiêm túc và tôn trọng giáo viên, bạn học.</t>
  </si>
  <si>
    <t>08:51:57 - 27/06/2026</t>
  </si>
  <si>
    <t>16:31:29 - 27/06/2026</t>
  </si>
  <si>
    <t>HS013</t>
  </si>
  <si>
    <t>Lê Xuân Ngọc Sương</t>
  </si>
  <si>
    <t>Lê Thị Nam</t>
  </si>
  <si>
    <t>Tính toán cơ bản, Biến đổi biểu thức, Giải phương trình, Hình học, Đọc hiểu đề bài, Trình bày lời giải, Bài toán vận dụng, Chưa xác định rõ</t>
  </si>
  <si>
    <t>Nguồn: Form khảo sát 24/06/2026. Giờ điền: 24/06/2026 19:04:44. Xếp lớp: 12A (T2-4-6 17h30). Điểm Toán gần nhất: 2,9. Kiến thức yếu: Tính toán cơ bản, Biến đổi biểu thức, Giải phương trình, Hình học, Đọc hiểu đề bài, Trình bày lời giải, Bài toán vận dụng, Chưa xác định rõ. Khó khăn: Mất gốc. Mục tiêu: Từ 7 đến 8 điểm. Mong muốn: Hiểu sâu hơn, đạt điểm cao hơn, hiểu được vì sao giải bài như vậy. Cam kết: Em cam kết đi học đúng giờ., Em cam kết làm bài tập được giao., Em cam kết chủ động hỏi lại khi chưa hiểu bài., Em cam kết học tập nghiêm túc và tôn trọng giáo viên, bạn học.</t>
  </si>
  <si>
    <t>08:52:01 - 27/06/2026</t>
  </si>
  <si>
    <t>16:31:33 - 27/06/2026</t>
  </si>
  <si>
    <t>HS014</t>
  </si>
  <si>
    <t>Trương Đức Hân</t>
  </si>
  <si>
    <t>Gia Hội</t>
  </si>
  <si>
    <t>Hoàng Thị Kim Thuý</t>
  </si>
  <si>
    <t>Từ 9 điểm trở lên</t>
  </si>
  <si>
    <t>Tính toán cơ bản, Biến đổi biểu thức, Giải phương trình, Hình học, Đọc hiểu đề bài, Trình bày lời giải, Bài toán vận dụng, Chưa xác định rõ, Khác</t>
  </si>
  <si>
    <t>Nguồn: Form khảo sát 24/06/2026. Giờ điền: 24/06/2026 19:04:54. Xếp lớp: 12A (T2-4-6 17h30). Điểm Toán gần nhất: 6,3. Kiến thức yếu: Tính toán cơ bản, Biến đổi biểu thức, Giải phương trình, Hình học, Đọc hiểu đề bài, Trình bày lời giải, Bài toán vận dụng, Chưa xác định rõ, Khác. Khó khăn: th. Mục tiêu: Từ 9 điểm trở lên. Mong muốn: 10đ. Cam kết: Em cam kết đi học đúng giờ., Em cam kết làm bài tập được giao., Em cam kết chủ động hỏi lại khi chưa hiểu bài., Em cam kết học tập nghiêm túc và tôn trọng giáo viên, bạn học.</t>
  </si>
  <si>
    <t>08:52:05 - 27/06/2026</t>
  </si>
  <si>
    <t>16:31:37 - 27/06/2026</t>
  </si>
  <si>
    <t>HS015</t>
  </si>
  <si>
    <t>Đặng Khánh Giang</t>
  </si>
  <si>
    <t>THPT Khoa học</t>
  </si>
  <si>
    <t>Nguyễn Thị Thanh Tâm</t>
  </si>
  <si>
    <t>Thu Aug 06 2026 14:00:00 GMT+0700 (GMT+07:00)</t>
  </si>
  <si>
    <t>Biến đổi biểu thức, Đọc hiểu đề bài, Bài toán vận dụng, Khác</t>
  </si>
  <si>
    <t>Nguồn: Form khảo sát 24/06/2026. Giờ điền: 24/06/2026 19:04:58. Xếp lớp: 12A (T2-4-6 17h30). Điểm Toán gần nhất: 6.8. Kiến thức yếu: Biến đổi biểu thức, Đọc hiểu đề bài, Bài toán vận dụng, Khác. Khó khăn: mất gốc. Mục tiêu: Từ 8 đến 9 điểm. Mong muốn: đạt điểm cao. Cam kết: Em cam kết đi học đúng giờ., Em cam kết làm bài tập được giao., Em cam kết chủ động hỏi lại khi chưa hiểu bài., Em cam kết học tập nghiêm túc và tôn trọng giáo viên, bạn học.</t>
  </si>
  <si>
    <t>08:52:09 - 27/06/2026</t>
  </si>
  <si>
    <t>16:31:40 - 27/06/2026</t>
  </si>
  <si>
    <t>HS016</t>
  </si>
  <si>
    <t>Phan Hoàng Thảo Nguyên</t>
  </si>
  <si>
    <t>THPT Bùi Thị Xuân</t>
  </si>
  <si>
    <t>Hoàng Thị Bích Nga</t>
  </si>
  <si>
    <t>4,8đ</t>
  </si>
  <si>
    <t>Từ 6 đến 7 điểm</t>
  </si>
  <si>
    <t>Biến đổi biểu thức, Trình bày lời giải</t>
  </si>
  <si>
    <t>Nguồn: Form khảo sát 24/06/2026. Giờ điền: 24/06/2026 19:05:21. Xếp lớp: 12A (T2-4-6 17h30). Điểm Toán gần nhất: 4,8đ. Kiến thức yếu: Biến đổi biểu thức, Trình bày lời giải. Khó khăn: Mất gốc. Mục tiêu: Từ 6 đến 7 điểm. Mong muốn: Học dễ hiểu hơn. Cam kết: Em cam kết đi học đúng giờ., Em cam kết làm bài tập được giao., Em cam kết chủ động hỏi lại khi chưa hiểu bài., Em cam kết học tập nghiêm túc và tôn trọng giáo viên, bạn học.</t>
  </si>
  <si>
    <t>08:52:12 - 27/06/2026</t>
  </si>
  <si>
    <t>16:31:43 - 27/06/2026</t>
  </si>
  <si>
    <t>HS017</t>
  </si>
  <si>
    <t>Võ Minh Thư</t>
  </si>
  <si>
    <t>TT GDNN-GDTX</t>
  </si>
  <si>
    <t>TÔN NỮ BÍCH CHI</t>
  </si>
  <si>
    <t>cuối kì 2 9</t>
  </si>
  <si>
    <t>Giải phương trình, Hình học, Trình bày lời giải, Bài toán vận dụng</t>
  </si>
  <si>
    <t>Nguồn: Form khảo sát 24/06/2026. Giờ điền: 24/06/2026 19:06:47. Xếp lớp: 12A (T2-4-6 17h30). Điểm Toán gần nhất: cuối kì 2 9. Kiến thức yếu: Giải phương trình, Hình học, Trình bày lời giải, Bài toán vận dụng. Khó khăn: mau quên. Mục tiêu: Từ 8 đến 9 điểm. Mong muốn: mún nắm bài kĩ hơi và nhớ kĩ hơn. Cam kết: Em cam kết đi học đúng giờ., Em cam kết làm bài tập được giao., Em cam kết chủ động hỏi lại khi chưa hiểu bài., Em cam kết học tập nghiêm túc và tôn trọng giáo viên, bạn học.</t>
  </si>
  <si>
    <t>08:52:16 - 27/06/2026</t>
  </si>
  <si>
    <t>16:31:47 - 27/06/2026</t>
  </si>
  <si>
    <t>HS018</t>
  </si>
  <si>
    <t>Ngô Đức Tuấn Hưng</t>
  </si>
  <si>
    <t>Chi lăng</t>
  </si>
  <si>
    <t>Nguyễn Thị Mỹ Chi</t>
  </si>
  <si>
    <t>Fri Mar 06 2026 15:00:00 GMT+0700 (GMT+07:00)</t>
  </si>
  <si>
    <t>Nguồn: Form khảo sát 24/06/2026. Giờ điền: 24/06/2026 19:07:40. Xếp lớp: 12A (T2-4-6 17h30). Điểm Toán gần nhất: 6.3. Kiến thức yếu: Hình học. Khó khăn: Em kb. Mục tiêu: Từ 7 đến 8 điểm. Cam kết: Em cam kết đi học đúng giờ., Em cam kết làm bài tập được giao., Em cam kết chủ động hỏi lại khi chưa hiểu bài., Em cam kết học tập nghiêm túc và tôn trọng giáo viên, bạn học.</t>
  </si>
  <si>
    <t>08:52:20 - 27/06/2026</t>
  </si>
  <si>
    <t>16:31:51 - 27/06/2026</t>
  </si>
  <si>
    <t>HS019</t>
  </si>
  <si>
    <t>Đoàn Ngọc Hân</t>
  </si>
  <si>
    <t>THPT Hai Bà Trưng</t>
  </si>
  <si>
    <t>Phan Thị Đan Thanh</t>
  </si>
  <si>
    <t>7.75</t>
  </si>
  <si>
    <t>Hình học, Trình bày lời giải, Bài toán vận dụng, Chưa xác định rõ</t>
  </si>
  <si>
    <t>Nguồn: Form khảo sát 24/06/2026. Giờ điền: 24/06/2026 21:05:49. Xếp lớp: 12B (T2-4-6 19h30). Điểm Toán gần nhất: 7,75. Kiến thức yếu: Hình học, Trình bày lời giải, Bài toán vận dụng, Chưa xác định rõ. Khó khăn: Lâu hiểu bài ( đối vs bài khó) , mau quên một số công thức, thiếu tự tin, sợ hình học hơn sợ ma. Mục tiêu: Từ 8 đến 9 điểm. Cam kết: Em cam kết đi học đúng giờ., Em cam kết làm bài tập được giao., Em cam kết chủ động hỏi lại khi chưa hiểu bài., Em cam kết học tập nghiêm túc và tôn trọng giáo viên, bạn học.</t>
  </si>
  <si>
    <t>08:52:23 - 27/06/2026</t>
  </si>
  <si>
    <t>16:31:56 - 27/06/2026</t>
  </si>
  <si>
    <t>HS020</t>
  </si>
  <si>
    <t>Nguyễn Phúc Nguyên</t>
  </si>
  <si>
    <t>Trường THPT Cao Thắng</t>
  </si>
  <si>
    <t>Nguyễn Nam</t>
  </si>
  <si>
    <t>Mon Mar 09 2026 14:00:00 GMT+0700 (GMT+07:00)</t>
  </si>
  <si>
    <t>Chưa xác định rõ</t>
  </si>
  <si>
    <t>Nguồn: Form khảo sát 24/06/2026. Giờ điền: 24/06/2026 21:15:57. Xếp lớp: 12B (T2-4-6 19h30). Điểm Toán gần nhất: 9.3. Kiến thức yếu: Chưa xác định rõ. Khó khăn: sợ hình học. Mục tiêu: Từ 9 điểm trở lên. Mong muốn: tự tin hơn. Cam kết: Em cam kết đi học đúng giờ., Em cam kết làm bài tập được giao., Em cam kết chủ động hỏi lại khi chưa hiểu bài., Em cam kết học tập nghiêm túc và tôn trọng giáo viên, bạn học.</t>
  </si>
  <si>
    <t>08:52:27 - 27/06/2026</t>
  </si>
  <si>
    <t>16:32:01 - 27/06/2026</t>
  </si>
  <si>
    <t>HS021</t>
  </si>
  <si>
    <t>Đào Duy Khánh Toàn</t>
  </si>
  <si>
    <t>THPT Gia hội</t>
  </si>
  <si>
    <t>Biện Thị Thanh Phú</t>
  </si>
  <si>
    <t>Nguồn: Form khảo sát 24/06/2026. Giờ điền: 24/06/2026 21:16:28. Xếp lớp: 12B (T2-4-6 19h30). Điểm Toán gần nhất: chưa có. Kiến thức yếu: Chưa xác định rõ. Khó khăn: .. Mục tiêu: Từ 9 điểm trở lên. Mong muốn: .. Cam kết: Em cam kết đi học đúng giờ.</t>
  </si>
  <si>
    <t>08:52:31 - 27/06/2026</t>
  </si>
  <si>
    <t>16:32:04 - 27/06/2026</t>
  </si>
  <si>
    <t>HS022</t>
  </si>
  <si>
    <t>Trần Hữu Tài</t>
  </si>
  <si>
    <t>Đặng tường tâm</t>
  </si>
  <si>
    <t>Nguồn: Form khảo sát 24/06/2026. Giờ điền: 24/06/2026 21:17:28. Xếp lớp: 12B (T2-4-6 19h30). Điểm Toán gần nhất: 7,5. Kiến thức yếu: Khác. Khó khăn: Không có í thức. Mục tiêu: Từ 7 đến 8 điểm. Mong muốn: Điểm cao. Cam kết: Em cam kết làm bài tập được giao.</t>
  </si>
  <si>
    <t>08:52:36 - 27/06/2026</t>
  </si>
  <si>
    <t>16:32:08 - 27/06/2026</t>
  </si>
  <si>
    <t>HS023</t>
  </si>
  <si>
    <t>Tôn Nữ Như Huyền</t>
  </si>
  <si>
    <t>Thpt Đặng Trần Côn</t>
  </si>
  <si>
    <t>Tôn Thất Lộc</t>
  </si>
  <si>
    <t>Tính toán cơ bản</t>
  </si>
  <si>
    <t>Nguồn: Form khảo sát 24/06/2026. Giờ điền: 24/06/2026 21:17:49. Xếp lớp: 12B (T2-4-6 19h30). Điểm Toán gần nhất: 5. Kiến thức yếu: Tính toán cơ bản. Khó khăn: chậm hiểu bài. Mục tiêu: Từ 6 đến 7 điểm. Mong muốn: muốn nắm kiến thức cơ bản, giải bài tập hoàn thiện. Cam kết: Em cam kết đi học đúng giờ., Em cam kết làm bài tập được giao., Em cam kết chủ động hỏi lại khi chưa hiểu bài., Em cam kết học tập nghiêm túc và tôn trọng giáo viên, bạn học.</t>
  </si>
  <si>
    <t>08:52:41 - 27/06/2026</t>
  </si>
  <si>
    <t>16:32:12 - 27/06/2026</t>
  </si>
  <si>
    <t>HS024</t>
  </si>
  <si>
    <t>Võ Đại Quốc Khánh</t>
  </si>
  <si>
    <t>DHKH Huế</t>
  </si>
  <si>
    <t>Võ Đại Hùng</t>
  </si>
  <si>
    <t>Nguồn: Form khảo sát 24/06/2026. Giờ điền: 24/06/2026 21:22:19. Xếp lớp: 12B (T2-4-6 19h30). Điểm Toán gần nhất: 6. Kiến thức yếu: Tính toán cơ bản, Biến đổi biểu thức, Giải phương trình, Hình học, Đọc hiểu đề bài, Trình bày lời giải, Bài toán vận dụng, Chưa xác định rõ, Khác. Khó khăn: Ý thức kém. Mục tiêu: Từ 9 điểm trở lên. Mong muốn: Bị phạt nhiều hơn. Cam kết: Em cam kết đi học đúng giờ., Em cam kết làm bài tập được giao., Em cam kết chủ động hỏi lại khi chưa hiểu bài., Em cam kết học tập nghiêm túc và tôn trọng giáo viên, bạn học.</t>
  </si>
  <si>
    <t>08:52:45 - 27/06/2026</t>
  </si>
  <si>
    <t>16:32:17 - 27/06/2026</t>
  </si>
  <si>
    <t>HS025</t>
  </si>
  <si>
    <t>Trần Ngọc Khánh Thi</t>
  </si>
  <si>
    <t>THPT HBT</t>
  </si>
  <si>
    <t>Trần Quang Nhật</t>
  </si>
  <si>
    <t>Fri Aug 07 2026 14:00:00 GMT+0700 (GMT+07:00)</t>
  </si>
  <si>
    <t>Nguồn: Form khảo sát 24/06/2026. Giờ điền: 24/06/2026 21:26:52. Xếp lớp: 12B (T2-4-6 19h30). Điểm Toán gần nhất: 7.8. Kiến thức yếu: Hình học. Khó khăn: sợ hình học. Mục tiêu: Từ 8 đến 9 điểm. Cam kết: Em cam kết đi học đúng giờ.</t>
  </si>
  <si>
    <t>08:52:49 - 27/06/2026</t>
  </si>
  <si>
    <t>16:32:20 - 27/06/2026</t>
  </si>
  <si>
    <t>HS026</t>
  </si>
  <si>
    <t>Nhã Uyên</t>
  </si>
  <si>
    <t>THPT Nguyễn Trường Tộ</t>
  </si>
  <si>
    <t>Ba của em</t>
  </si>
  <si>
    <t>Nhóm kèm nhỏ</t>
  </si>
  <si>
    <t>Nguồn: Facebook. Xếp lớp: 10A (T3-5-7 15h30). Nhóm kèm nhỏ</t>
  </si>
  <si>
    <t>16:03:34 - 27/06/2026</t>
  </si>
  <si>
    <t>16:06:15 - 27/06/2026</t>
  </si>
  <si>
    <t>HS027</t>
  </si>
  <si>
    <t>Uyên Phương</t>
  </si>
  <si>
    <t>Chưa rõ</t>
  </si>
  <si>
    <t>Chờ tập trung 1/7 để sắp xếp lịch</t>
  </si>
  <si>
    <t>Nguồn: Facebook. Xếp lớp: 10A (T3-5-7 15h30). Chờ tập trung 1/7 để sắp xếp lịch</t>
  </si>
  <si>
    <t>16:03:37 - 27/06/2026</t>
  </si>
  <si>
    <t>16:06:19 - 27/06/2026</t>
  </si>
  <si>
    <t>HS028</t>
  </si>
  <si>
    <t>Nguyễn Thị Ngọc Hân</t>
  </si>
  <si>
    <t>THPT Gia Hội</t>
  </si>
  <si>
    <t>Nguyễn Thị Thân/Thẫn</t>
  </si>
  <si>
    <t>Lịch học thêm: T2 13h30-15h, T7 7h30-9h. Lịch trường chưa biết</t>
  </si>
  <si>
    <t>Nguồn: Facebook. Xếp lớp: 10A (T3-5-7 15h30). Lịch học thêm: T2 13h30-15h, T7 7h30-9h. Lịch trường chưa biết</t>
  </si>
  <si>
    <t>16:03:41 - 27/06/2026</t>
  </si>
  <si>
    <t>16:06:23 - 27/06/2026</t>
  </si>
  <si>
    <t>HS029</t>
  </si>
  <si>
    <t>Võ Lê Thanh Phương</t>
  </si>
  <si>
    <t>Đại học Khoa học Huế</t>
  </si>
  <si>
    <t>Toán hơi yếu, cần bổ trợ nền tảng. Dự kiến khai giảng 1/7</t>
  </si>
  <si>
    <t>Nguồn: Facebook. Xếp lớp: 10A (T3-5-7 15h30). Toán hơi yếu, cần bổ trợ nền tảng. Dự kiến khai giảng 1/7</t>
  </si>
  <si>
    <t>16:03:46 - 27/06/2026</t>
  </si>
  <si>
    <t>16:06:27 - 27/06/2026</t>
  </si>
  <si>
    <t>HS030</t>
  </si>
  <si>
    <t>Hương Giang</t>
  </si>
  <si>
    <t>THPT Hương Thủy</t>
  </si>
  <si>
    <t>Hồng Hương</t>
  </si>
  <si>
    <t>Học lực Toán khá, điểm thi Toán 6,5. Cần test đầu vào</t>
  </si>
  <si>
    <t>Nguồn: Zalo. Xếp lớp: 10A (T3-5-7 15h30). Học lực Toán khá, điểm thi Toán 6,5. Cần test đầu vào</t>
  </si>
  <si>
    <t>16:03:51 - 27/06/2026</t>
  </si>
  <si>
    <t>16:06:30 - 27/06/2026</t>
  </si>
  <si>
    <t>HS031</t>
  </si>
  <si>
    <t>Ngô Trần Huyền Trang</t>
  </si>
  <si>
    <t>Nga Trần</t>
  </si>
  <si>
    <t>Học bình thường, năm ngoái kết quả tốt. Chưa có lịch học trường</t>
  </si>
  <si>
    <t>Nguồn: Zalo. Xếp lớp: 10A (T3-5-7 15h30). Học bình thường, năm ngoái kết quả tốt. Chưa có lịch học trường</t>
  </si>
  <si>
    <t>16:03:55 - 27/06/2026</t>
  </si>
  <si>
    <t>16:06:34 - 27/06/2026</t>
  </si>
  <si>
    <t>HS032</t>
  </si>
  <si>
    <t>Lê Bá Bảo Hân</t>
  </si>
  <si>
    <t>Đăng ký Toán 10, chờ khảo sát/test và xếp lịch</t>
  </si>
  <si>
    <t>Nguồn: Zalo. Xếp lớp: 10A (T3-5-7 15h30). Đăng ký Toán 10, chờ khảo sát/test và xếp lịch</t>
  </si>
  <si>
    <t>16:04:00 - 27/06/2026</t>
  </si>
  <si>
    <t>16:06:38 - 27/06/2026</t>
  </si>
  <si>
    <t>MaGV</t>
  </si>
  <si>
    <t>SDT</t>
  </si>
  <si>
    <t>Email</t>
  </si>
  <si>
    <t>ChuyenMon</t>
  </si>
  <si>
    <t>DonGiaMoiBuoi</t>
  </si>
  <si>
    <t>LuongCoBan</t>
  </si>
  <si>
    <t>PhuCap</t>
  </si>
  <si>
    <t>GV0001</t>
  </si>
  <si>
    <t>Lê Đức Nhân</t>
  </si>
  <si>
    <t>0383634949</t>
  </si>
  <si>
    <t>ducnhandhsp@gmail.com</t>
  </si>
  <si>
    <t>Toán</t>
  </si>
  <si>
    <t>23:12:58 - 01/06/2026</t>
  </si>
  <si>
    <t>09:54:17 - 28/06/2026</t>
  </si>
  <si>
    <t>MaLop</t>
  </si>
  <si>
    <t>TenLop</t>
  </si>
  <si>
    <t>NamHoc</t>
  </si>
  <si>
    <t>HocPhiMacDinh</t>
  </si>
  <si>
    <t>Buoi1</t>
  </si>
  <si>
    <t>Buoi2</t>
  </si>
  <si>
    <t>Buoi3</t>
  </si>
  <si>
    <t>12A</t>
  </si>
  <si>
    <t>T2 17h30</t>
  </si>
  <si>
    <t>T4 17h30</t>
  </si>
  <si>
    <t>T6 17h30</t>
  </si>
  <si>
    <t>Khối 12 ca 17h30, chia theo giờ điền form khoảng 19h</t>
  </si>
  <si>
    <t>08:51:12 - 27/06/2026</t>
  </si>
  <si>
    <t>12B</t>
  </si>
  <si>
    <t>T2 19h30</t>
  </si>
  <si>
    <t>T4 19h30</t>
  </si>
  <si>
    <t>T6 19h30</t>
  </si>
  <si>
    <t>Khối 12 ca 19h30, chia theo giờ điền form từ 21h</t>
  </si>
  <si>
    <t>08:51:16 - 27/06/2026</t>
  </si>
  <si>
    <t>6A</t>
  </si>
  <si>
    <t>T4 7h30</t>
  </si>
  <si>
    <t>T7 7h30</t>
  </si>
  <si>
    <t>08:51:19 - 27/06/2026</t>
  </si>
  <si>
    <t>08:17:44 - 28/06/2026</t>
  </si>
  <si>
    <t>10A</t>
  </si>
  <si>
    <t>??o T?n</t>
  </si>
  <si>
    <t>T3 15h30</t>
  </si>
  <si>
    <t>T5 15h30</t>
  </si>
  <si>
    <t>T7 15h30</t>
  </si>
  <si>
    <t>L?p 10A h?c T3-5-7 15h30.</t>
  </si>
  <si>
    <t>16:06:11 - 27/06/2026</t>
  </si>
  <si>
    <t>16:32:30 - 27/06/2026</t>
  </si>
  <si>
    <t>MaDangKy</t>
  </si>
  <si>
    <t>NgayVao</t>
  </si>
  <si>
    <t>NgayRa</t>
  </si>
  <si>
    <t>DK0002</t>
  </si>
  <si>
    <t>08:51:36 - 27/06/2026</t>
  </si>
  <si>
    <t>DK0003</t>
  </si>
  <si>
    <t>08:51:41 - 27/06/2026</t>
  </si>
  <si>
    <t>DK0004</t>
  </si>
  <si>
    <t>08:51:45 - 27/06/2026</t>
  </si>
  <si>
    <t>DK0005</t>
  </si>
  <si>
    <t>08:51:50 - 27/06/2026</t>
  </si>
  <si>
    <t>DK0006</t>
  </si>
  <si>
    <t>08:51:54 - 27/06/2026</t>
  </si>
  <si>
    <t>DK0007</t>
  </si>
  <si>
    <t>08:51:58 - 27/06/2026</t>
  </si>
  <si>
    <t>DK0008</t>
  </si>
  <si>
    <t>08:52:02 - 27/06/2026</t>
  </si>
  <si>
    <t>DK0009</t>
  </si>
  <si>
    <t>08:52:06 - 27/06/2026</t>
  </si>
  <si>
    <t>DK0010</t>
  </si>
  <si>
    <t>DK0011</t>
  </si>
  <si>
    <t>08:52:13 - 27/06/2026</t>
  </si>
  <si>
    <t>DK0012</t>
  </si>
  <si>
    <t>08:52:17 - 27/06/2026</t>
  </si>
  <si>
    <t>DK0013</t>
  </si>
  <si>
    <t>08:52:21 - 27/06/2026</t>
  </si>
  <si>
    <t>DK0014</t>
  </si>
  <si>
    <t>08:52:24 - 27/06/2026</t>
  </si>
  <si>
    <t>DK0015</t>
  </si>
  <si>
    <t>08:52:28 - 27/06/2026</t>
  </si>
  <si>
    <t>DK0016</t>
  </si>
  <si>
    <t>08:52:33 - 27/06/2026</t>
  </si>
  <si>
    <t>DK0017</t>
  </si>
  <si>
    <t>08:52:37 - 27/06/2026</t>
  </si>
  <si>
    <t>DK0018</t>
  </si>
  <si>
    <t>08:52:42 - 27/06/2026</t>
  </si>
  <si>
    <t>DK0019</t>
  </si>
  <si>
    <t>08:52:46 - 27/06/2026</t>
  </si>
  <si>
    <t>DK0020</t>
  </si>
  <si>
    <t>08:52:50 - 27/06/2026</t>
  </si>
  <si>
    <t>DK0021</t>
  </si>
  <si>
    <t>08:53:01 - 27/06/2026</t>
  </si>
  <si>
    <t>DK0022</t>
  </si>
  <si>
    <t>08:53:05 - 27/06/2026</t>
  </si>
  <si>
    <t>DK0023</t>
  </si>
  <si>
    <t>DK0024</t>
  </si>
  <si>
    <t>08:53:15 - 27/06/2026</t>
  </si>
  <si>
    <t>DK0025</t>
  </si>
  <si>
    <t>08:53:19 - 27/06/2026</t>
  </si>
  <si>
    <t>DK0026</t>
  </si>
  <si>
    <t>16:03:35 - 27/06/2026</t>
  </si>
  <si>
    <t>DK0027</t>
  </si>
  <si>
    <t>16:03:38 - 27/06/2026</t>
  </si>
  <si>
    <t>DK0028</t>
  </si>
  <si>
    <t>DK0029</t>
  </si>
  <si>
    <t>16:03:47 - 27/06/2026</t>
  </si>
  <si>
    <t>DK0030</t>
  </si>
  <si>
    <t>DK0031</t>
  </si>
  <si>
    <t>16:03:56 - 27/06/2026</t>
  </si>
  <si>
    <t>DK0032</t>
  </si>
  <si>
    <t>16:04:02 - 27/06/2026</t>
  </si>
  <si>
    <t>MaBuoi</t>
  </si>
  <si>
    <t>Ngay</t>
  </si>
  <si>
    <t>NoiDung</t>
  </si>
  <si>
    <t>BaiTapVeNha</t>
  </si>
  <si>
    <t>GhiChuGV</t>
  </si>
  <si>
    <t>BH-20260627-6A-7H30</t>
  </si>
  <si>
    <t>KHẢO SÁT CHẤT LƯỢNG</t>
  </si>
  <si>
    <t>---</t>
  </si>
  <si>
    <t>23:57:49 - 27/06/2026</t>
  </si>
  <si>
    <t>BH-20260627-10A-15H30</t>
  </si>
  <si>
    <t>LÝ THUYẾT + BÀI TẬP</t>
  </si>
  <si>
    <t>23:58:18 - 27/06/2026</t>
  </si>
  <si>
    <t>MaDiemDanh</t>
  </si>
  <si>
    <t>DD-BH-20260623-6A-7H30-HS002</t>
  </si>
  <si>
    <t>BH-20260623-6A-7H30</t>
  </si>
  <si>
    <t>23:56:20 - 27/06/2026</t>
  </si>
  <si>
    <t>DD-BH-20260623-6A-7H30-HS003</t>
  </si>
  <si>
    <t>DD-BH-20260623-6A-7H30-HS004</t>
  </si>
  <si>
    <t>DD-BH-20260623-6A-7H30-HS005</t>
  </si>
  <si>
    <t>DD-BH-20260623-6A-7H30-HS006</t>
  </si>
  <si>
    <t>DD-BH-20260627-6A-7H30-HS002</t>
  </si>
  <si>
    <t>DD-BH-20260627-6A-7H30-HS003</t>
  </si>
  <si>
    <t>DD-BH-20260627-6A-7H30-HS004</t>
  </si>
  <si>
    <t>DD-BH-20260627-6A-7H30-HS005</t>
  </si>
  <si>
    <t>DD-BH-20260627-6A-7H30-HS006</t>
  </si>
  <si>
    <t>DD-BH-20260627-10A-15H30-HS026</t>
  </si>
  <si>
    <t>23:58:19 - 27/06/2026</t>
  </si>
  <si>
    <t>DD-BH-20260627-10A-15H30-HS027</t>
  </si>
  <si>
    <t>DD-BH-20260627-10A-15H30-HS028</t>
  </si>
  <si>
    <t>DD-BH-20260627-10A-15H30-HS029</t>
  </si>
  <si>
    <t>DD-BH-20260627-10A-15H30-HS030</t>
  </si>
  <si>
    <t>DD-BH-20260627-10A-15H30-HS031</t>
  </si>
  <si>
    <t>DD-BH-20260627-10A-15H30-HS032</t>
  </si>
  <si>
    <t>MaPhieuThu</t>
  </si>
  <si>
    <t>NgayThu</t>
  </si>
  <si>
    <t>ThangHP</t>
  </si>
  <si>
    <t>NamHP</t>
  </si>
  <si>
    <t>SoTien</t>
  </si>
  <si>
    <t>HinhThuc</t>
  </si>
  <si>
    <t>NguoiNop</t>
  </si>
  <si>
    <t>NguoiThu</t>
  </si>
  <si>
    <t>PT-260628-HS019-5X6W</t>
  </si>
  <si>
    <t>07:36:12 - 28/06/2026</t>
  </si>
  <si>
    <t>MaPhieuChi</t>
  </si>
  <si>
    <t>NgayChi</t>
  </si>
  <si>
    <t>NguoiChi</t>
  </si>
  <si>
    <t>HangMuc</t>
  </si>
  <si>
    <t>MaNghi</t>
  </si>
  <si>
    <t>LyDo</t>
  </si>
  <si>
    <t>NguoiBao</t>
  </si>
  <si>
    <t>LogId</t>
  </si>
  <si>
    <t>Time</t>
  </si>
  <si>
    <t>Action</t>
  </si>
  <si>
    <t>Entity</t>
  </si>
  <si>
    <t>EntityId</t>
  </si>
  <si>
    <t>User</t>
  </si>
  <si>
    <t>Detail</t>
  </si>
  <si>
    <t>Status</t>
  </si>
  <si>
    <t>LOG-20260601-231258-756</t>
  </si>
  <si>
    <t>saveTeacher</t>
  </si>
  <si>
    <t>Created teacher Lê Đức Nhân</t>
  </si>
  <si>
    <t>ok</t>
  </si>
  <si>
    <t>LOG-20260601-231323-624</t>
  </si>
  <si>
    <t>23:13:23 - 01/06/2026</t>
  </si>
  <si>
    <t>saveClass</t>
  </si>
  <si>
    <t>K12</t>
  </si>
  <si>
    <t>Created class A</t>
  </si>
  <si>
    <t>LOG-20260601-231357-698</t>
  </si>
  <si>
    <t>23:13:57 - 01/06/2026</t>
  </si>
  <si>
    <t>saveHS</t>
  </si>
  <si>
    <t>HS001</t>
  </si>
  <si>
    <t>Created student Lê Đức Bảo Khánh</t>
  </si>
  <si>
    <t>LOG-20260627-083837-038</t>
  </si>
  <si>
    <t>08:38:37 - 27/06/2026</t>
  </si>
  <si>
    <t>Created student Hoàng Nhã Phương</t>
  </si>
  <si>
    <t>LOG-20260627-083840-531</t>
  </si>
  <si>
    <t>Created student Võ Nguyễn Bình An</t>
  </si>
  <si>
    <t>LOG-20260627-083844-019</t>
  </si>
  <si>
    <t>08:38:44 - 27/06/2026</t>
  </si>
  <si>
    <t>Created student Đinh Như Cát Tường</t>
  </si>
  <si>
    <t>LOG-20260627-083847-187</t>
  </si>
  <si>
    <t>08:38:47 - 27/06/2026</t>
  </si>
  <si>
    <t>Created student Lê Gia Bảo</t>
  </si>
  <si>
    <t>LOG-20260627-083851-237</t>
  </si>
  <si>
    <t>08:38:51 - 27/06/2026</t>
  </si>
  <si>
    <t>Created student Gia Huy</t>
  </si>
  <si>
    <t>LOG-20260627-085113-009</t>
  </si>
  <si>
    <t>08:51:13 - 27/06/2026</t>
  </si>
  <si>
    <t>Created class 12A</t>
  </si>
  <si>
    <t>LOG-20260627-085116-612</t>
  </si>
  <si>
    <t>Created class 12B</t>
  </si>
  <si>
    <t>LOG-20260627-085120-288</t>
  </si>
  <si>
    <t>08:51:20 - 27/06/2026</t>
  </si>
  <si>
    <t>Created class 6A</t>
  </si>
  <si>
    <t>LOG-20260627-085125-029</t>
  </si>
  <si>
    <t>08:51:25 - 27/06/2026</t>
  </si>
  <si>
    <t>Created class 10A</t>
  </si>
  <si>
    <t>LOG-20260627-085136-403</t>
  </si>
  <si>
    <t>Created student Lê thị bảo Vy</t>
  </si>
  <si>
    <t>LOG-20260627-085141-833</t>
  </si>
  <si>
    <t>Created student Lê Ngọc Khánh An</t>
  </si>
  <si>
    <t>LOG-20260627-085145-762</t>
  </si>
  <si>
    <t>Created student Phạm Trần Nhật Huy</t>
  </si>
  <si>
    <t>LOG-20260627-085150-376</t>
  </si>
  <si>
    <t>Created student Trần Lê Anh Thy</t>
  </si>
  <si>
    <t>LOG-20260627-085154-446</t>
  </si>
  <si>
    <t>Created student Trương Hoàng Bảo Ngọc</t>
  </si>
  <si>
    <t>LOG-20260627-085158-624</t>
  </si>
  <si>
    <t>Created student Bảo Hân</t>
  </si>
  <si>
    <t>LOG-20260627-085202-926</t>
  </si>
  <si>
    <t>Created student Lê Xuân Ngọc Sương</t>
  </si>
  <si>
    <t>LOG-20260627-085206-846</t>
  </si>
  <si>
    <t>Created student Trương Đức Hân</t>
  </si>
  <si>
    <t>LOG-20260627-085209-973</t>
  </si>
  <si>
    <t>Created student Đặng Khánh Giang</t>
  </si>
  <si>
    <t>LOG-20260627-085213-993</t>
  </si>
  <si>
    <t>Created student Phan Hoàng Thảo Nguyên</t>
  </si>
  <si>
    <t>LOG-20260627-085217-726</t>
  </si>
  <si>
    <t>Created student Võ Minh Thư</t>
  </si>
  <si>
    <t>LOG-20260627-085221-280</t>
  </si>
  <si>
    <t>Created student Ngô Đức Tuấn Hưng</t>
  </si>
  <si>
    <t>LOG-20260627-085224-899</t>
  </si>
  <si>
    <t>Created student Đoàn Ngọc Hân</t>
  </si>
  <si>
    <t>LOG-20260627-085228-997</t>
  </si>
  <si>
    <t>Created student Nguyễn Phúc Nguyên</t>
  </si>
  <si>
    <t>LOG-20260627-085233-409</t>
  </si>
  <si>
    <t>Created student Đào Duy Khánh Toàn</t>
  </si>
  <si>
    <t>LOG-20260627-085237-611</t>
  </si>
  <si>
    <t>Created student Trần Hữu Tài</t>
  </si>
  <si>
    <t>LOG-20260627-085242-342</t>
  </si>
  <si>
    <t>Created student Tôn Nữ Như Huyền</t>
  </si>
  <si>
    <t>LOG-20260627-085246-745</t>
  </si>
  <si>
    <t>Created student Võ Đại Quốc Khánh</t>
  </si>
  <si>
    <t>LOG-20260627-085250-334</t>
  </si>
  <si>
    <t>Created student Trần Ngọc Khánh Thi</t>
  </si>
  <si>
    <t>LOG-20260627-085301-795</t>
  </si>
  <si>
    <t>updateHS</t>
  </si>
  <si>
    <t>Updated student Hoàng Nhã Phương</t>
  </si>
  <si>
    <t>LOG-20260627-085305-652</t>
  </si>
  <si>
    <t>Updated student Võ Nguyễn Bình An</t>
  </si>
  <si>
    <t>LOG-20260627-085310-144</t>
  </si>
  <si>
    <t>08:53:10 - 27/06/2026</t>
  </si>
  <si>
    <t>Updated student Đinh Như Cát Tường</t>
  </si>
  <si>
    <t>LOG-20260627-085315-444</t>
  </si>
  <si>
    <t>Updated student Lê Gia Bảo</t>
  </si>
  <si>
    <t>LOG-20260627-085320-175</t>
  </si>
  <si>
    <t>08:53:20 - 27/06/2026</t>
  </si>
  <si>
    <t>Updated student Gia Huy</t>
  </si>
  <si>
    <t>LOG-20260627-160156-921</t>
  </si>
  <si>
    <t>16:01:56 - 27/06/2026</t>
  </si>
  <si>
    <t>deleteHS</t>
  </si>
  <si>
    <t>Deleted student</t>
  </si>
  <si>
    <t>LOG-20260627-160331-772</t>
  </si>
  <si>
    <t>16:03:31 - 27/06/2026</t>
  </si>
  <si>
    <t>LOG-20260627-160335-199</t>
  </si>
  <si>
    <t>Created student Nh? Uy?n</t>
  </si>
  <si>
    <t>LOG-20260627-160338-936</t>
  </si>
  <si>
    <t>Created student Uy?n Ph??ng</t>
  </si>
  <si>
    <t>LOG-20260627-160342-109</t>
  </si>
  <si>
    <t>16:03:42 - 27/06/2026</t>
  </si>
  <si>
    <t>Created student Nguy?n Th? Ng?c H?n</t>
  </si>
  <si>
    <t>LOG-20260627-160347-978</t>
  </si>
  <si>
    <t>Created student V? L? Thanh Ph??ng</t>
  </si>
  <si>
    <t>LOG-20260627-160352-015</t>
  </si>
  <si>
    <t>16:03:52 - 27/06/2026</t>
  </si>
  <si>
    <t>Created student H??ng Giang</t>
  </si>
  <si>
    <t>LOG-20260627-160356-622</t>
  </si>
  <si>
    <t>Created student Ng? Tr?n Huy?n Trang</t>
  </si>
  <si>
    <t>LOG-20260627-160403-372</t>
  </si>
  <si>
    <t>16:04:03 - 27/06/2026</t>
  </si>
  <si>
    <t>Created student L? B? B?o H?n</t>
  </si>
  <si>
    <t>LOG-20260627-160612-005</t>
  </si>
  <si>
    <t>16:06:12 - 27/06/2026</t>
  </si>
  <si>
    <t>LOG-20260627-160615-954</t>
  </si>
  <si>
    <t>Updated student Nhã Uyên</t>
  </si>
  <si>
    <t>LOG-20260627-160619-547</t>
  </si>
  <si>
    <t>Updated student Uyên Phương</t>
  </si>
  <si>
    <t>LOG-20260627-160623-961</t>
  </si>
  <si>
    <t>Updated student Nguyễn Thị Ngọc Hân</t>
  </si>
  <si>
    <t>LOG-20260627-160627-829</t>
  </si>
  <si>
    <t>Updated student Võ Lê Thanh Phương</t>
  </si>
  <si>
    <t>LOG-20260627-160631-285</t>
  </si>
  <si>
    <t>16:06:31 - 27/06/2026</t>
  </si>
  <si>
    <t>Updated student Hương Giang</t>
  </si>
  <si>
    <t>LOG-20260627-160634-768</t>
  </si>
  <si>
    <t>Updated student Ngô Trần Huyền Trang</t>
  </si>
  <si>
    <t>LOG-20260627-160639-642</t>
  </si>
  <si>
    <t>16:06:39 - 27/06/2026</t>
  </si>
  <si>
    <t>Updated student Lê Bá Bảo Hân</t>
  </si>
  <si>
    <t>LOG-20260627-162640-714</t>
  </si>
  <si>
    <t>16:26:40 - 27/06/2026</t>
  </si>
  <si>
    <t>HS033</t>
  </si>
  <si>
    <t>Created student QA_AUTOTEST_1782552390750</t>
  </si>
  <si>
    <t>LOG-20260627-162646-654</t>
  </si>
  <si>
    <t>16:26:46 - 27/06/2026</t>
  </si>
  <si>
    <t>Updated student QA_AUTOTEST_1782552390750_UPDATED</t>
  </si>
  <si>
    <t>LOG-20260627-162649-862</t>
  </si>
  <si>
    <t>16:26:49 - 27/06/2026</t>
  </si>
  <si>
    <t>savePayment</t>
  </si>
  <si>
    <t>PT-20260627-162649-HS033-T6-2026</t>
  </si>
  <si>
    <t>Created payment</t>
  </si>
  <si>
    <t>LOG-20260627-162653-571</t>
  </si>
  <si>
    <t>16:26:53 - 27/06/2026</t>
  </si>
  <si>
    <t>saveExpense</t>
  </si>
  <si>
    <t>PC-20260627-162652</t>
  </si>
  <si>
    <t>Created expense</t>
  </si>
  <si>
    <t>LOG-20260627-162657-943</t>
  </si>
  <si>
    <t>16:26:57 - 27/06/2026</t>
  </si>
  <si>
    <t>saveDiary</t>
  </si>
  <si>
    <t>BH-20260630-10A-15H30</t>
  </si>
  <si>
    <t>Saved diary/lesson</t>
  </si>
  <si>
    <t>LOG-20260627-162702-770</t>
  </si>
  <si>
    <t>16:27:02 - 27/06/2026</t>
  </si>
  <si>
    <t>deleteDiary</t>
  </si>
  <si>
    <t>Deleted lesson and attendance</t>
  </si>
  <si>
    <t>LOG-20260627-162705-550</t>
  </si>
  <si>
    <t>16:27:05 - 27/06/2026</t>
  </si>
  <si>
    <t>deleteExpense</t>
  </si>
  <si>
    <t>Deleted expense</t>
  </si>
  <si>
    <t>LOG-20260627-162709-289</t>
  </si>
  <si>
    <t>16:27:09 - 27/06/2026</t>
  </si>
  <si>
    <t>deletePayment</t>
  </si>
  <si>
    <t>Deleted payment</t>
  </si>
  <si>
    <t>LOG-20260627-162715-761</t>
  </si>
  <si>
    <t>16:27:15 - 27/06/2026</t>
  </si>
  <si>
    <t>LOG-20260627-163107-061</t>
  </si>
  <si>
    <t>16:31:07 - 27/06/2026</t>
  </si>
  <si>
    <t>Updated student Lê thị bảo Vy</t>
  </si>
  <si>
    <t>LOG-20260627-163110-281</t>
  </si>
  <si>
    <t>16:31:10 - 27/06/2026</t>
  </si>
  <si>
    <t>Updated student Lê Ngọc Khánh An</t>
  </si>
  <si>
    <t>LOG-20260627-163115-543</t>
  </si>
  <si>
    <t>16:31:15 - 27/06/2026</t>
  </si>
  <si>
    <t>Updated student Phạm Trần Nhật Huy</t>
  </si>
  <si>
    <t>LOG-20260627-163120-728</t>
  </si>
  <si>
    <t>16:31:20 - 27/06/2026</t>
  </si>
  <si>
    <t>Updated student Trần Lê Anh Thy</t>
  </si>
  <si>
    <t>LOG-20260627-163126-226</t>
  </si>
  <si>
    <t>16:31:26 - 27/06/2026</t>
  </si>
  <si>
    <t>Updated student Trương Hoàng Bảo Ngọc</t>
  </si>
  <si>
    <t>LOG-20260627-163129-558</t>
  </si>
  <si>
    <t>Updated student Bảo Hân</t>
  </si>
  <si>
    <t>LOG-20260627-163133-842</t>
  </si>
  <si>
    <t>Updated student Lê Xuân Ngọc Sương</t>
  </si>
  <si>
    <t>LOG-20260627-163138-158</t>
  </si>
  <si>
    <t>16:31:38 - 27/06/2026</t>
  </si>
  <si>
    <t>Updated student Trương Đức Hân</t>
  </si>
  <si>
    <t>LOG-20260627-163141-388</t>
  </si>
  <si>
    <t>16:31:41 - 27/06/2026</t>
  </si>
  <si>
    <t>Updated student Đặng Khánh Giang</t>
  </si>
  <si>
    <t>LOG-20260627-163144-467</t>
  </si>
  <si>
    <t>16:31:44 - 27/06/2026</t>
  </si>
  <si>
    <t>Updated student Phan Hoàng Thảo Nguyên</t>
  </si>
  <si>
    <t>LOG-20260627-163147-511</t>
  </si>
  <si>
    <t>Updated student Võ Minh Thư</t>
  </si>
  <si>
    <t>LOG-20260627-163151-970</t>
  </si>
  <si>
    <t>Updated student Ngô Đức Tuấn Hưng</t>
  </si>
  <si>
    <t>LOG-20260627-163157-549</t>
  </si>
  <si>
    <t>16:31:57 - 27/06/2026</t>
  </si>
  <si>
    <t>Updated student Đoàn Ngọc Hân</t>
  </si>
  <si>
    <t>LOG-20260627-163201-622</t>
  </si>
  <si>
    <t>Updated student Nguyễn Phúc Nguyên</t>
  </si>
  <si>
    <t>LOG-20260627-163204-632</t>
  </si>
  <si>
    <t>Updated student Đào Duy Khánh Toàn</t>
  </si>
  <si>
    <t>LOG-20260627-163209-780</t>
  </si>
  <si>
    <t>16:32:09 - 27/06/2026</t>
  </si>
  <si>
    <t>Updated student Trần Hữu Tài</t>
  </si>
  <si>
    <t>LOG-20260627-163213-393</t>
  </si>
  <si>
    <t>16:32:13 - 27/06/2026</t>
  </si>
  <si>
    <t>Updated student Tôn Nữ Như Huyền</t>
  </si>
  <si>
    <t>LOG-20260627-163217-732</t>
  </si>
  <si>
    <t>Updated student Võ Đại Quốc Khánh</t>
  </si>
  <si>
    <t>LOG-20260627-163221-037</t>
  </si>
  <si>
    <t>16:32:21 - 27/06/2026</t>
  </si>
  <si>
    <t>Updated student Trần Ngọc Khánh Thi</t>
  </si>
  <si>
    <t>LOG-20260627-163222-984</t>
  </si>
  <si>
    <t>16:32:22 - 27/06/2026</t>
  </si>
  <si>
    <t>deleteClass</t>
  </si>
  <si>
    <t>Deleted class</t>
  </si>
  <si>
    <t>LOG-20260627-163225-333</t>
  </si>
  <si>
    <t>16:32:25 - 27/06/2026</t>
  </si>
  <si>
    <t>LOG-20260627-163227-531</t>
  </si>
  <si>
    <t>16:32:27 - 27/06/2026</t>
  </si>
  <si>
    <t>LOG-20260627-163230-862</t>
  </si>
  <si>
    <t>updateClass</t>
  </si>
  <si>
    <t>Updated class 10A</t>
  </si>
  <si>
    <t>LOG-20260627-235620-716</t>
  </si>
  <si>
    <t>LOG-20260627-235750-039</t>
  </si>
  <si>
    <t>23:57:50 - 27/06/2026</t>
  </si>
  <si>
    <t>LOG-20260627-235819-629</t>
  </si>
  <si>
    <t>LOG-20260628-073613-199</t>
  </si>
  <si>
    <t>07:36:13 - 28/06/2026</t>
  </si>
  <si>
    <t>LOG-20260628-075928-654</t>
  </si>
  <si>
    <t>07:59:28 - 28/06/2026</t>
  </si>
  <si>
    <t>LOG-20260628-081632-490</t>
  </si>
  <si>
    <t>08:16:32 - 28/06/2026</t>
  </si>
  <si>
    <t>updateTeacher</t>
  </si>
  <si>
    <t>Updated teacher Thầy Lê Đức Nhân</t>
  </si>
  <si>
    <t>LOG-20260628-081744-172</t>
  </si>
  <si>
    <t>Updated class 6A</t>
  </si>
  <si>
    <t>LOG-20260628-095218-791</t>
  </si>
  <si>
    <t>LOG-20260628-095418-077</t>
  </si>
  <si>
    <t>09:54:18 - 28/06/2026</t>
  </si>
  <si>
    <t>LOG-20260628-223029-254</t>
  </si>
  <si>
    <t>22:30:29 - 28/06/2026</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</si>
</sst>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d.m"/>
    <numFmt numFmtId="166" formatCode="dd/mm/yyyy hh:mm"/>
    <numFmt numFmtId="167" formatCode="#,##0 &quot;đ&quot;"/>
  </numFmts>
  <fonts count="10">
    <font>
      <sz val="11.0"/>
      <color rgb="FF000000"/>
      <name val="Carlito"/>
      <scheme val="minor"/>
    </font>
    <font>
      <b/>
      <sz val="16.0"/>
      <color rgb="FFFFFFFF"/>
      <name val="Arial"/>
    </font>
    <font>
      <b/>
      <sz val="10.0"/>
      <color rgb="FFFFFFFF"/>
      <name val="Arial"/>
    </font>
    <font>
      <sz val="10.0"/>
      <color rgb="FF0F172A"/>
      <name val="Arial"/>
    </font>
    <font>
      <b/>
      <sz val="11.0"/>
      <color rgb="FF1E1B4B"/>
      <name val="Arial"/>
    </font>
    <font>
      <b/>
      <sz val="11.0"/>
      <color rgb="FF0F172A"/>
      <name val="Arial"/>
    </font>
    <font>
      <sz val="11.0"/>
      <color rgb="FF0F172A"/>
      <name val="Arial"/>
    </font>
    <font>
      <b/>
      <sz val="10.0"/>
      <color rgb="FF0F172A"/>
      <name val="Arial"/>
    </font>
    <font>
      <sz val="11.0"/>
      <color rgb="FF0F172A"/>
      <name val="Carlito"/>
    </font>
    <font>
      <color theme="1"/>
      <name val="Carlito"/>
      <scheme val="minor"/>
    </font>
  </fonts>
  <fills count="7">
    <fill>
      <patternFill patternType="none"/>
    </fill>
    <fill>
      <patternFill patternType="lightGray"/>
    </fill>
    <fill>
      <patternFill patternType="solid">
        <fgColor rgb="FF1E1B4B"/>
        <bgColor rgb="FF1E1B4B"/>
      </patternFill>
    </fill>
    <fill>
      <patternFill patternType="solid">
        <fgColor rgb="FFF8FAFC"/>
        <bgColor rgb="FFF8FAFC"/>
      </patternFill>
    </fill>
    <fill>
      <patternFill patternType="solid">
        <fgColor rgb="FFFFFFFF"/>
        <bgColor rgb="FFFFFFFF"/>
      </patternFill>
    </fill>
    <fill>
      <patternFill patternType="solid">
        <fgColor rgb="FFC1E4F5"/>
        <bgColor rgb="FFC1E4F5"/>
      </patternFill>
    </fill>
    <fill>
      <patternFill patternType="solid">
        <fgColor theme="0"/>
        <bgColor theme="0"/>
      </patternFill>
    </fill>
  </fills>
  <borders count="1">
    <border/>
  </borders>
  <cellStyleXfs count="1">
    <xf borderId="0" fillId="0" fontId="0" numFmtId="0" applyAlignment="1" applyFont="1"/>
  </cellStyleXfs>
  <cellXfs count="68">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2" fontId="1" numFmtId="0" xfId="0" applyAlignment="1" applyFont="1">
      <alignment horizontal="center" shrinkToFit="0" vertical="center" wrapText="1"/>
    </xf>
    <xf borderId="0" fillId="2" fontId="2" numFmtId="0" xfId="0" applyAlignment="1" applyFont="1">
      <alignment horizontal="center" shrinkToFit="0" vertical="center" wrapText="1"/>
    </xf>
    <xf borderId="0" fillId="3" fontId="3" numFmtId="0" xfId="0" applyAlignment="1" applyFill="1" applyFont="1">
      <alignment horizontal="center" shrinkToFit="0" vertical="center" wrapText="1"/>
    </xf>
    <xf borderId="0" fillId="3" fontId="3" numFmtId="0" xfId="0" applyAlignment="1" applyFont="1">
      <alignment shrinkToFit="0" vertical="center" wrapText="1"/>
    </xf>
    <xf borderId="0" fillId="3" fontId="4" numFmtId="0" xfId="0" applyAlignment="1" applyFont="1">
      <alignment horizontal="center" readingOrder="0" shrinkToFit="0" vertical="center" wrapText="1"/>
    </xf>
    <xf borderId="0" fillId="3" fontId="5" numFmtId="0" xfId="0" applyAlignment="1" applyFont="1">
      <alignment readingOrder="0" shrinkToFit="0" vertical="center" wrapText="1"/>
    </xf>
    <xf borderId="0" fillId="3" fontId="6" numFmtId="0" xfId="0" applyAlignment="1" applyFont="1">
      <alignment shrinkToFit="0" vertical="center" wrapText="1"/>
    </xf>
    <xf borderId="0" fillId="3" fontId="5" numFmtId="0" xfId="0" applyAlignment="1" applyFont="1">
      <alignment horizontal="center" shrinkToFit="0" vertical="center" wrapText="1"/>
    </xf>
    <xf borderId="0" fillId="3" fontId="6" numFmtId="0" xfId="0" applyAlignment="1" applyFont="1">
      <alignment readingOrder="0" shrinkToFit="0" vertical="center" wrapText="1"/>
    </xf>
    <xf borderId="0" fillId="3" fontId="5" numFmtId="0" xfId="0" applyAlignment="1" applyFont="1">
      <alignment shrinkToFit="0" vertical="center" wrapText="1"/>
    </xf>
    <xf borderId="0" fillId="3" fontId="6" numFmtId="0" xfId="0" applyAlignment="1" applyFont="1">
      <alignment shrinkToFit="0" vertical="center" wrapText="1"/>
    </xf>
    <xf borderId="0" fillId="3" fontId="4" numFmtId="0" xfId="0" applyAlignment="1" applyFont="1">
      <alignment horizontal="center" shrinkToFit="0" vertical="center" wrapText="1"/>
    </xf>
    <xf borderId="0" fillId="4" fontId="7" numFmtId="0" xfId="0" applyAlignment="1" applyFill="1" applyFont="1">
      <alignment horizontal="center" shrinkToFit="0" vertical="center" wrapText="1"/>
    </xf>
    <xf borderId="0" fillId="4" fontId="3" numFmtId="0" xfId="0" applyAlignment="1" applyFont="1">
      <alignment shrinkToFit="0" vertical="center" wrapText="1"/>
    </xf>
    <xf borderId="0" fillId="4" fontId="3" numFmtId="0" xfId="0" applyAlignment="1" applyFont="1">
      <alignment shrinkToFit="0" vertical="center" wrapText="1"/>
    </xf>
    <xf borderId="0" fillId="4" fontId="7" numFmtId="0" xfId="0" applyAlignment="1" applyFont="1">
      <alignment shrinkToFit="0" vertical="center" wrapText="1"/>
    </xf>
    <xf borderId="0" fillId="3" fontId="7" numFmtId="0" xfId="0" applyAlignment="1" applyFont="1">
      <alignment shrinkToFit="0" vertical="center" wrapText="1"/>
    </xf>
    <xf borderId="0" fillId="3" fontId="3" numFmtId="0" xfId="0" applyAlignment="1" applyFont="1">
      <alignment shrinkToFit="0" vertical="center" wrapText="1"/>
    </xf>
    <xf borderId="0" fillId="4" fontId="3" numFmtId="0" xfId="0" applyAlignment="1" applyFont="1">
      <alignment horizontal="center" shrinkToFit="0" vertical="center" wrapText="1"/>
    </xf>
    <xf borderId="0" fillId="3" fontId="3" numFmtId="164" xfId="0" applyAlignment="1" applyFont="1" applyNumberFormat="1">
      <alignment horizontal="center" shrinkToFit="0" vertical="center" wrapText="1"/>
    </xf>
    <xf borderId="0" fillId="4" fontId="3" numFmtId="164" xfId="0" applyAlignment="1" applyFont="1" applyNumberFormat="1">
      <alignment horizontal="center" shrinkToFit="0" vertical="center" wrapText="1"/>
    </xf>
    <xf borderId="0" fillId="5" fontId="8" numFmtId="0" xfId="0" applyAlignment="1" applyFill="1" applyFont="1">
      <alignment shrinkToFit="0" vertical="top" wrapText="1"/>
    </xf>
    <xf borderId="0" fillId="5" fontId="8" numFmtId="164" xfId="0" applyAlignment="1" applyFont="1" applyNumberFormat="1">
      <alignment shrinkToFit="0" vertical="top" wrapText="1"/>
    </xf>
    <xf borderId="0" fillId="6" fontId="8" numFmtId="0" xfId="0" applyAlignment="1" applyFill="1" applyFont="1">
      <alignment shrinkToFit="0" vertical="top" wrapText="1"/>
    </xf>
    <xf borderId="0" fillId="6" fontId="8" numFmtId="164" xfId="0" applyAlignment="1" applyFont="1" applyNumberFormat="1">
      <alignment shrinkToFit="0" vertical="top" wrapText="1"/>
    </xf>
    <xf borderId="0" fillId="2" fontId="2" numFmtId="49" xfId="0" applyAlignment="1" applyFont="1" applyNumberFormat="1">
      <alignment horizontal="center" shrinkToFit="0" vertical="center" wrapText="1"/>
    </xf>
    <xf borderId="0" fillId="3" fontId="3" numFmtId="49" xfId="0" applyAlignment="1" applyFont="1" applyNumberFormat="1">
      <alignment readingOrder="0" shrinkToFit="0" vertical="center" wrapText="1"/>
    </xf>
    <xf borderId="0" fillId="3" fontId="3" numFmtId="0" xfId="0" applyAlignment="1" applyFont="1">
      <alignment readingOrder="0" shrinkToFit="0" vertical="center" wrapText="1"/>
    </xf>
    <xf borderId="0" fillId="3" fontId="3" numFmtId="0" xfId="0" applyAlignment="1" applyFont="1">
      <alignment horizontal="center" readingOrder="0" shrinkToFit="0" vertical="center" wrapText="1"/>
    </xf>
    <xf borderId="0" fillId="3" fontId="3" numFmtId="49" xfId="0" applyAlignment="1" applyFont="1" applyNumberFormat="1">
      <alignment horizontal="left" readingOrder="0" shrinkToFit="0" vertical="center" wrapText="1"/>
    </xf>
    <xf borderId="0" fillId="3" fontId="3" numFmtId="49" xfId="0" applyAlignment="1" applyFont="1" applyNumberFormat="1">
      <alignment horizontal="left" shrinkToFit="0" vertical="center" wrapText="1"/>
    </xf>
    <xf borderId="0" fillId="3" fontId="3" numFmtId="164" xfId="0" applyAlignment="1" applyFont="1" applyNumberFormat="1">
      <alignment horizontal="center" readingOrder="0" shrinkToFit="0" vertical="center" wrapText="1"/>
    </xf>
    <xf borderId="0" fillId="4" fontId="3" numFmtId="49" xfId="0" applyAlignment="1" applyFont="1" applyNumberFormat="1">
      <alignment readingOrder="0" shrinkToFit="0" vertical="center" wrapText="1"/>
    </xf>
    <xf borderId="0" fillId="4" fontId="3" numFmtId="0" xfId="0" applyAlignment="1" applyFont="1">
      <alignment readingOrder="0" shrinkToFit="0" vertical="center" wrapText="1"/>
    </xf>
    <xf borderId="0" fillId="4" fontId="3" numFmtId="0" xfId="0" applyAlignment="1" applyFont="1">
      <alignment horizontal="center" readingOrder="0" shrinkToFit="0" vertical="center" wrapText="1"/>
    </xf>
    <xf borderId="0" fillId="4" fontId="3" numFmtId="49" xfId="0" applyAlignment="1" applyFont="1" applyNumberFormat="1">
      <alignment horizontal="left" shrinkToFit="0" vertical="center" wrapText="1"/>
    </xf>
    <xf borderId="0" fillId="4" fontId="3" numFmtId="164" xfId="0" applyAlignment="1" applyFont="1" applyNumberFormat="1">
      <alignment horizontal="center" readingOrder="0" shrinkToFit="0" vertical="center" wrapText="1"/>
    </xf>
    <xf borderId="0" fillId="4" fontId="3" numFmtId="49" xfId="0" applyAlignment="1" applyFont="1" applyNumberFormat="1">
      <alignment horizontal="left" readingOrder="0" shrinkToFit="0" vertical="center" wrapText="1"/>
    </xf>
    <xf borderId="0" fillId="4" fontId="3" numFmtId="165" xfId="0" applyAlignment="1" applyFont="1" applyNumberFormat="1">
      <alignment readingOrder="0" shrinkToFit="0" vertical="center" wrapText="1"/>
    </xf>
    <xf borderId="0" fillId="3" fontId="3" numFmtId="165" xfId="0" applyAlignment="1" applyFont="1" applyNumberFormat="1">
      <alignment readingOrder="0" shrinkToFit="0" vertical="center" wrapText="1"/>
    </xf>
    <xf borderId="0" fillId="6" fontId="8" numFmtId="49" xfId="0" applyAlignment="1" applyFont="1" applyNumberFormat="1">
      <alignment shrinkToFit="0" vertical="top" wrapText="1"/>
    </xf>
    <xf borderId="0" fillId="6" fontId="8" numFmtId="166" xfId="0" applyAlignment="1" applyFont="1" applyNumberFormat="1">
      <alignment shrinkToFit="0" vertical="top" wrapText="1"/>
    </xf>
    <xf borderId="0" fillId="5" fontId="8" numFmtId="49" xfId="0" applyAlignment="1" applyFont="1" applyNumberFormat="1">
      <alignment shrinkToFit="0" vertical="top" wrapText="1"/>
    </xf>
    <xf borderId="0" fillId="5" fontId="8" numFmtId="166" xfId="0" applyAlignment="1" applyFont="1" applyNumberFormat="1">
      <alignment shrinkToFit="0" vertical="top" wrapText="1"/>
    </xf>
    <xf borderId="0" fillId="0" fontId="9" numFmtId="49" xfId="0" applyFont="1" applyNumberFormat="1"/>
    <xf borderId="0" fillId="0" fontId="9" numFmtId="0" xfId="0" applyFont="1"/>
    <xf borderId="0" fillId="3" fontId="3" numFmtId="3" xfId="0" applyAlignment="1" applyFont="1" applyNumberFormat="1">
      <alignment horizontal="center" readingOrder="0" shrinkToFit="0" vertical="center" wrapText="1"/>
    </xf>
    <xf borderId="0" fillId="3" fontId="3" numFmtId="167" xfId="0" applyAlignment="1" applyFont="1" applyNumberFormat="1">
      <alignment horizontal="right" readingOrder="0" shrinkToFit="0" vertical="center" wrapText="1"/>
    </xf>
    <xf borderId="0" fillId="3" fontId="3" numFmtId="3" xfId="0" applyAlignment="1" applyFont="1" applyNumberFormat="1">
      <alignment readingOrder="0" shrinkToFit="0" vertical="center" wrapText="1"/>
    </xf>
    <xf borderId="0" fillId="6" fontId="8" numFmtId="49" xfId="0" applyAlignment="1" applyFont="1" applyNumberFormat="1">
      <alignment readingOrder="0" shrinkToFit="0" vertical="top" wrapText="1"/>
    </xf>
    <xf borderId="0" fillId="6" fontId="8" numFmtId="0" xfId="0" applyAlignment="1" applyFont="1">
      <alignment readingOrder="0" shrinkToFit="0" vertical="top" wrapText="1"/>
    </xf>
    <xf borderId="0" fillId="6" fontId="8" numFmtId="3" xfId="0" applyAlignment="1" applyFont="1" applyNumberFormat="1">
      <alignment readingOrder="0" shrinkToFit="0" vertical="top" wrapText="1"/>
    </xf>
    <xf borderId="0" fillId="5" fontId="8" numFmtId="3" xfId="0" applyAlignment="1" applyFont="1" applyNumberFormat="1">
      <alignment shrinkToFit="0" vertical="top" wrapText="1"/>
    </xf>
    <xf borderId="0" fillId="6" fontId="8" numFmtId="3" xfId="0" applyAlignment="1" applyFont="1" applyNumberFormat="1">
      <alignment shrinkToFit="0" vertical="top" wrapText="1"/>
    </xf>
    <xf borderId="0" fillId="4" fontId="3" numFmtId="3" xfId="0" applyAlignment="1" applyFont="1" applyNumberFormat="1">
      <alignment readingOrder="0" shrinkToFit="0" vertical="center" wrapText="1"/>
    </xf>
    <xf borderId="0" fillId="3" fontId="3" numFmtId="0" xfId="0" applyAlignment="1" applyFont="1">
      <alignment horizontal="center" shrinkToFit="0" vertical="center" wrapText="1"/>
    </xf>
    <xf borderId="0" fillId="3" fontId="3" numFmtId="1" xfId="0" applyAlignment="1" applyFont="1" applyNumberFormat="1">
      <alignment horizontal="center" readingOrder="0" shrinkToFit="0" vertical="center" wrapText="1"/>
    </xf>
    <xf borderId="0" fillId="6" fontId="8" numFmtId="1" xfId="0" applyAlignment="1" applyFont="1" applyNumberFormat="1">
      <alignment shrinkToFit="0" vertical="top" wrapText="1"/>
    </xf>
    <xf borderId="0" fillId="5" fontId="8" numFmtId="1" xfId="0" applyAlignment="1" applyFont="1" applyNumberFormat="1">
      <alignment shrinkToFit="0" vertical="top" wrapText="1"/>
    </xf>
    <xf borderId="0" fillId="0" fontId="8" numFmtId="0" xfId="0" applyAlignment="1" applyFont="1">
      <alignment shrinkToFit="0" vertical="top" wrapText="1"/>
    </xf>
    <xf borderId="0" fillId="0" fontId="8" numFmtId="164" xfId="0" applyAlignment="1" applyFont="1" applyNumberFormat="1">
      <alignment horizontal="center" shrinkToFit="0" vertical="top" wrapText="1"/>
    </xf>
    <xf borderId="0" fillId="0" fontId="8" numFmtId="3" xfId="0" applyAlignment="1" applyFont="1" applyNumberFormat="1">
      <alignment shrinkToFit="0" vertical="top" wrapText="1"/>
    </xf>
    <xf borderId="0" fillId="0" fontId="8" numFmtId="0" xfId="0" applyAlignment="1" applyFont="1">
      <alignment horizontal="center" shrinkToFit="0" vertical="top" wrapText="1"/>
    </xf>
    <xf borderId="0" fillId="0" fontId="8" numFmtId="164" xfId="0" applyAlignment="1" applyFont="1" applyNumberFormat="1">
      <alignment shrinkToFit="0" vertical="top" wrapText="1"/>
    </xf>
    <xf borderId="0" fillId="0" fontId="8" numFmtId="166" xfId="0" applyAlignment="1" applyFont="1" applyNumberFormat="1">
      <alignment shrinkToFit="0" vertical="top" wrapText="1"/>
    </xf>
    <xf borderId="0" fillId="5" fontId="8" numFmtId="0" xfId="0" applyAlignment="1" applyFont="1">
      <alignment readingOrder="0" shrinkToFit="0" vertical="top" wrapText="1"/>
    </xf>
  </cellXfs>
  <cellStyles count="1">
    <cellStyle xfId="0" name="Normal" builtinId="0"/>
  </cellStyles>
  <dxfs count="8">
    <dxf>
      <font/>
      <fill>
        <patternFill patternType="none"/>
      </fill>
      <border/>
    </dxf>
    <dxf>
      <font/>
      <fill>
        <patternFill patternType="solid">
          <fgColor rgb="FFDCFCE7"/>
          <bgColor rgb="FFDCFCE7"/>
        </patternFill>
      </fill>
      <border/>
    </dxf>
    <dxf>
      <font/>
      <fill>
        <patternFill patternType="solid">
          <fgColor rgb="FFF1F5F9"/>
          <bgColor rgb="FFF1F5F9"/>
        </patternFill>
      </fill>
      <border/>
    </dxf>
    <dxf>
      <font/>
      <fill>
        <patternFill patternType="solid">
          <fgColor rgb="FFFEE2E2"/>
          <bgColor rgb="FFFEE2E2"/>
        </patternFill>
      </fill>
      <border/>
    </dxf>
    <dxf>
      <font/>
      <fill>
        <patternFill patternType="solid">
          <fgColor rgb="FFFEF3C7"/>
          <bgColor rgb="FFFEF3C7"/>
        </patternFill>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s>
  <tableStyles count="2">
    <tableStyle count="3" pivot="0" name="ChiPhi-style">
      <tableStyleElement dxfId="5" type="headerRow"/>
      <tableStyleElement dxfId="6" type="firstRowStripe"/>
      <tableStyleElement dxfId="7" type="secondRowStripe"/>
    </tableStyle>
    <tableStyle count="3" pivot="0" name="NghiHoc-style">
      <tableStyleElement dxfId="5" type="headerRow"/>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L219" displayName="Table_1" name="Table_1" id="1">
  <tableColumns count="12">
    <tableColumn name="MaPhieuChi" id="1"/>
    <tableColumn name="NgayChi" id="2"/>
    <tableColumn name="NguoiChi" id="3"/>
    <tableColumn name="HangMuc" id="4"/>
    <tableColumn name="SoTien" id="5"/>
    <tableColumn name="NoiDung" id="6"/>
    <tableColumn name="MaLop" id="7"/>
    <tableColumn name="MaGV" id="8"/>
    <tableColumn name="TrangThai" id="9"/>
    <tableColumn name="GhiChu" id="10"/>
    <tableColumn name="CreatedAt" id="11"/>
    <tableColumn name="UpdatedAt" id="12"/>
  </tableColumns>
  <tableStyleInfo name="ChiPhi-style" showColumnStripes="0" showFirstColumn="1" showLastColumn="1" showRowStripes="1"/>
</table>
</file>

<file path=xl/tables/table2.xml><?xml version="1.0" encoding="utf-8"?>
<table xmlns="http://schemas.openxmlformats.org/spreadsheetml/2006/main" ref="A1:J220" displayName="Table_2" name="Table_2" id="2">
  <tableColumns count="10">
    <tableColumn name="MaNghi" id="1"/>
    <tableColumn name="Ngay" id="2"/>
    <tableColumn name="MaHS" id="3"/>
    <tableColumn name="MaBuoi" id="4"/>
    <tableColumn name="LyDo" id="5"/>
    <tableColumn name="TrangThai" id="6"/>
    <tableColumn name="NguoiBao" id="7"/>
    <tableColumn name="GhiChu" id="8"/>
    <tableColumn name="CreatedAt" id="9"/>
    <tableColumn name="UpdatedAt" id="10"/>
  </tableColumns>
  <tableStyleInfo name="NghiHoc-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7.xml"/><Relationship Id="rId3"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 Id="rId5"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2.xml"/><Relationship Id="rId3" Type="http://schemas.openxmlformats.org/officeDocument/2006/relationships/vmlDrawing" Target="../drawings/vmlDrawing10.vml"/><Relationship Id="rId5"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F46E5"/>
    <pageSetUpPr/>
  </sheetPr>
  <sheetViews>
    <sheetView showGridLines="0" workbookViewId="0">
      <pane ySplit="1" topLeftCell="A2" activePane="bottomLeft" state="frozen"/>
      <selection pane="bottomLeft"/>
    </sheetView>
  </sheetViews>
  <sheetFormatPr customHeight="1" defaultColWidth="12.63" defaultRowHeight="15.0"/>
  <cols>
    <col min="1" max="1" width="24"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6.0" customHeight="1">
      <c r="A1" s="1" t="s">
        <v>0</v>
      </c>
      <c r="B1" s="2"/>
      <c r="C1" s="2"/>
      <c r="D1" s="2"/>
      <c r="E1" s="2"/>
      <c r="F1" s="2"/>
      <c r="G1" s="3"/>
      <c r="H1" s="3"/>
      <c r="I1" s="3"/>
    </row>
    <row r="2" ht="22.5" customHeight="1">
      <c r="A2" s="4"/>
      <c r="B2" s="5"/>
      <c r="C2" s="5"/>
      <c r="D2" s="5"/>
      <c r="E2" s="5"/>
      <c r="F2" s="5"/>
    </row>
    <row r="3" ht="22.5" customHeight="1">
      <c r="A3" s="6" t="s">
        <v>1</v>
      </c>
      <c r="B3" s="7" t="s">
        <v>2</v>
      </c>
      <c r="C3" s="8"/>
      <c r="D3" s="9" t="s">
        <v>3</v>
      </c>
      <c r="E3" s="9" t="s">
        <v>4</v>
      </c>
      <c r="F3" s="9" t="s">
        <v>5</v>
      </c>
    </row>
    <row r="4" ht="22.5" customHeight="1">
      <c r="A4" s="6" t="s">
        <v>6</v>
      </c>
      <c r="B4" s="10" t="s">
        <v>7</v>
      </c>
      <c r="C4" s="8"/>
      <c r="D4" s="11" t="s">
        <v>8</v>
      </c>
      <c r="E4" s="12" t="s">
        <v>9</v>
      </c>
      <c r="F4" s="12" t="s">
        <v>10</v>
      </c>
    </row>
    <row r="5" ht="22.5" customHeight="1">
      <c r="A5" s="6" t="s">
        <v>11</v>
      </c>
      <c r="B5" s="10" t="s">
        <v>12</v>
      </c>
      <c r="C5" s="8"/>
      <c r="D5" s="11" t="s">
        <v>13</v>
      </c>
      <c r="E5" s="12" t="s">
        <v>14</v>
      </c>
      <c r="F5" s="12" t="s">
        <v>15</v>
      </c>
    </row>
    <row r="6" ht="22.5" customHeight="1">
      <c r="A6" s="13" t="s">
        <v>16</v>
      </c>
      <c r="B6" s="12" t="s">
        <v>17</v>
      </c>
      <c r="C6" s="8"/>
      <c r="D6" s="11" t="s">
        <v>18</v>
      </c>
      <c r="E6" s="12" t="s">
        <v>19</v>
      </c>
      <c r="F6" s="12" t="s">
        <v>20</v>
      </c>
    </row>
    <row r="7" ht="22.5" customHeight="1">
      <c r="A7" s="13" t="s">
        <v>21</v>
      </c>
      <c r="B7" s="12" t="s">
        <v>22</v>
      </c>
      <c r="C7" s="8"/>
      <c r="D7" s="11" t="s">
        <v>23</v>
      </c>
      <c r="E7" s="12" t="s">
        <v>24</v>
      </c>
      <c r="F7" s="12" t="s">
        <v>25</v>
      </c>
    </row>
    <row r="8" ht="22.5" customHeight="1">
      <c r="A8" s="13" t="s">
        <v>26</v>
      </c>
      <c r="B8" s="12" t="s">
        <v>27</v>
      </c>
      <c r="C8" s="8"/>
      <c r="D8" s="11" t="s">
        <v>28</v>
      </c>
      <c r="E8" s="12" t="s">
        <v>29</v>
      </c>
      <c r="F8" s="12" t="s">
        <v>30</v>
      </c>
    </row>
    <row r="9" ht="22.5" customHeight="1">
      <c r="A9" s="14" t="s">
        <v>31</v>
      </c>
      <c r="B9" s="15" t="s">
        <v>32</v>
      </c>
      <c r="C9" s="16"/>
      <c r="D9" s="17" t="s">
        <v>33</v>
      </c>
      <c r="E9" s="15" t="s">
        <v>34</v>
      </c>
      <c r="F9" s="15" t="s">
        <v>35</v>
      </c>
    </row>
    <row r="10" ht="22.5" customHeight="1">
      <c r="A10" s="4"/>
      <c r="B10" s="5"/>
      <c r="C10" s="5"/>
      <c r="D10" s="18" t="s">
        <v>36</v>
      </c>
      <c r="E10" s="19" t="s">
        <v>37</v>
      </c>
      <c r="F10" s="19" t="s">
        <v>38</v>
      </c>
    </row>
    <row r="11" ht="22.5" customHeight="1">
      <c r="A11" s="20"/>
      <c r="B11" s="16"/>
      <c r="C11" s="16"/>
      <c r="D11" s="17" t="s">
        <v>39</v>
      </c>
      <c r="E11" s="15" t="s">
        <v>40</v>
      </c>
      <c r="F11" s="15" t="s">
        <v>41</v>
      </c>
    </row>
    <row r="12" ht="22.5" customHeight="1">
      <c r="A12" s="4"/>
      <c r="B12" s="5"/>
      <c r="C12" s="5"/>
      <c r="D12" s="18" t="s">
        <v>42</v>
      </c>
      <c r="E12" s="19" t="s">
        <v>43</v>
      </c>
      <c r="F12" s="19" t="s">
        <v>44</v>
      </c>
    </row>
    <row r="13" ht="22.5" customHeight="1">
      <c r="A13" s="20"/>
      <c r="B13" s="16"/>
      <c r="C13" s="16"/>
      <c r="D13" s="17" t="s">
        <v>45</v>
      </c>
      <c r="E13" s="15" t="s">
        <v>46</v>
      </c>
      <c r="F13" s="15" t="s">
        <v>47</v>
      </c>
    </row>
    <row r="14" ht="22.5" customHeight="1">
      <c r="A14" s="4"/>
      <c r="B14" s="5"/>
      <c r="C14" s="5"/>
      <c r="D14" s="18" t="s">
        <v>48</v>
      </c>
      <c r="E14" s="19" t="s">
        <v>49</v>
      </c>
      <c r="F14" s="19" t="s">
        <v>50</v>
      </c>
    </row>
    <row r="15" ht="22.5" customHeight="1">
      <c r="A15" s="20"/>
      <c r="B15" s="16"/>
      <c r="C15" s="16"/>
      <c r="D15" s="17" t="s">
        <v>51</v>
      </c>
      <c r="E15" s="15" t="s">
        <v>52</v>
      </c>
      <c r="F15" s="15" t="s">
        <v>53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15"/>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F766E"/>
    <pageSetUpPr/>
  </sheetPr>
  <sheetViews>
    <sheetView showGridLines="0" workbookViewId="0">
      <pane ySplit="1" topLeftCell="A2" activePane="bottomLeft" state="frozen"/>
      <selection pane="bottomLeft"/>
    </sheetView>
  </sheetViews>
  <sheetFormatPr customHeight="1" defaultColWidth="12.63" defaultRowHeight="15.0"/>
  <cols>
    <col min="1" max="1" width="15" customWidth="1"/>
    <col min="2" max="2" width="15" customWidth="1"/>
    <col min="3" max="3" width="13" customWidth="1"/>
    <col min="4" max="4" width="14" customWidth="1"/>
    <col min="5" max="5" width="18" customWidth="1"/>
    <col min="6" max="6" width="15" customWidth="1"/>
    <col min="7" max="7" width="15" customWidth="1"/>
    <col min="8" max="8" width="17" customWidth="1"/>
    <col min="9" max="9" width="13" customWidth="1"/>
    <col min="10" max="10" width="15" customWidth="1"/>
    <col min="11" max="11" width="10" customWidth="1"/>
    <col min="12" max="12" width="10" customWidth="1"/>
    <col min="13" max="13" width="20" customWidth="1"/>
    <col min="14" max="14" width="15" customWidth="1"/>
  </cols>
  <sheetData>
    <row r="1" ht="31.5" customHeight="1">
      <c r="A1" s="3" t="s">
        <v>54</v>
      </c>
      <c r="B1" s="3" t="s">
        <v>55</v>
      </c>
      <c r="C1" s="3" t="s">
        <v>56</v>
      </c>
      <c r="D1" s="3" t="s">
        <v>57</v>
      </c>
      <c r="E1" s="3" t="s">
        <v>58</v>
      </c>
      <c r="F1" s="3" t="s">
        <v>59</v>
      </c>
      <c r="G1" s="3" t="s">
        <v>60</v>
      </c>
      <c r="H1" s="3" t="s">
        <v>61</v>
      </c>
      <c r="I1" s="3" t="s">
        <v>62</v>
      </c>
      <c r="J1" s="3" t="s">
        <v>63</v>
      </c>
      <c r="K1" s="3" t="s">
        <v>64</v>
      </c>
      <c r="L1" s="3" t="s">
        <v>65</v>
      </c>
      <c r="M1" s="3" t="s">
        <v>66</v>
      </c>
      <c r="N1" s="3" t="s">
        <v>67</v>
      </c>
    </row>
    <row r="2" ht="22.5" customHeight="1">
      <c r="A2" s="5" t="s">
        <v>68</v>
      </c>
      <c r="B2" s="5" t="s">
        <v>68</v>
      </c>
      <c r="C2" s="5" t="s">
        <v>68</v>
      </c>
      <c r="D2" s="5" t="s">
        <v>69</v>
      </c>
      <c r="E2" s="5" t="s">
        <v>70</v>
      </c>
      <c r="F2" s="5" t="s">
        <v>71</v>
      </c>
      <c r="G2" s="5" t="s">
        <v>72</v>
      </c>
      <c r="H2" s="5" t="s">
        <v>73</v>
      </c>
      <c r="I2" s="5" t="s">
        <v>74</v>
      </c>
      <c r="J2" s="5" t="s">
        <v>75</v>
      </c>
      <c r="K2" s="5">
        <v>6.0</v>
      </c>
      <c r="L2" s="5" t="s">
        <v>76</v>
      </c>
      <c r="M2" s="5" t="s">
        <v>68</v>
      </c>
      <c r="N2" s="5" t="s">
        <v>68</v>
      </c>
    </row>
    <row r="3" ht="22.5" customHeight="1">
      <c r="A3" s="16" t="s">
        <v>77</v>
      </c>
      <c r="B3" s="16" t="s">
        <v>77</v>
      </c>
      <c r="C3" s="16" t="s">
        <v>78</v>
      </c>
      <c r="D3" s="16" t="s">
        <v>79</v>
      </c>
      <c r="E3" s="16" t="s">
        <v>80</v>
      </c>
      <c r="F3" s="16" t="s">
        <v>81</v>
      </c>
      <c r="G3" s="16" t="s">
        <v>82</v>
      </c>
      <c r="H3" s="16" t="s">
        <v>83</v>
      </c>
      <c r="I3" s="16" t="s">
        <v>84</v>
      </c>
      <c r="J3" s="16" t="s">
        <v>85</v>
      </c>
      <c r="K3" s="16">
        <v>7.0</v>
      </c>
      <c r="L3" s="16" t="s">
        <v>86</v>
      </c>
      <c r="M3" s="16" t="s">
        <v>77</v>
      </c>
      <c r="N3" s="16" t="s">
        <v>87</v>
      </c>
    </row>
    <row r="4" ht="22.5" customHeight="1">
      <c r="A4" s="5" t="s">
        <v>88</v>
      </c>
      <c r="B4" s="5" t="s">
        <v>88</v>
      </c>
      <c r="C4" s="5" t="s">
        <v>89</v>
      </c>
      <c r="D4" s="5" t="s">
        <v>90</v>
      </c>
      <c r="E4" s="5" t="s">
        <v>91</v>
      </c>
      <c r="F4" s="5" t="s">
        <v>87</v>
      </c>
      <c r="G4" s="5" t="s">
        <v>92</v>
      </c>
      <c r="H4" s="5" t="s">
        <v>93</v>
      </c>
      <c r="I4" s="5" t="s">
        <v>94</v>
      </c>
      <c r="J4" s="5" t="s">
        <v>95</v>
      </c>
      <c r="K4" s="5">
        <v>8.0</v>
      </c>
      <c r="L4" s="5" t="s">
        <v>96</v>
      </c>
      <c r="M4" s="5" t="s">
        <v>97</v>
      </c>
      <c r="N4" s="5"/>
    </row>
    <row r="5" ht="22.5" customHeight="1">
      <c r="A5" s="16" t="s">
        <v>98</v>
      </c>
      <c r="B5" s="16"/>
      <c r="C5" s="16"/>
      <c r="D5" s="16" t="s">
        <v>87</v>
      </c>
      <c r="E5" s="16" t="s">
        <v>99</v>
      </c>
      <c r="F5" s="16" t="s">
        <v>100</v>
      </c>
      <c r="G5" s="16" t="s">
        <v>101</v>
      </c>
      <c r="H5" s="16" t="s">
        <v>102</v>
      </c>
      <c r="I5" s="16"/>
      <c r="J5" s="16" t="s">
        <v>103</v>
      </c>
      <c r="K5" s="16">
        <v>9.0</v>
      </c>
      <c r="L5" s="16" t="s">
        <v>104</v>
      </c>
      <c r="M5" s="16" t="s">
        <v>98</v>
      </c>
      <c r="N5" s="16"/>
    </row>
    <row r="6" ht="22.5" customHeight="1">
      <c r="A6" s="5"/>
      <c r="B6" s="5"/>
      <c r="C6" s="5"/>
      <c r="D6" s="5"/>
      <c r="E6" s="5"/>
      <c r="F6" s="5"/>
      <c r="G6" s="5"/>
      <c r="H6" s="5" t="s">
        <v>105</v>
      </c>
      <c r="I6" s="5"/>
      <c r="J6" s="5"/>
      <c r="K6" s="5">
        <v>10.0</v>
      </c>
      <c r="L6" s="5" t="s">
        <v>106</v>
      </c>
      <c r="M6" s="5"/>
      <c r="N6" s="5"/>
    </row>
    <row r="7" ht="22.5" customHeight="1">
      <c r="A7" s="16"/>
      <c r="B7" s="16"/>
      <c r="C7" s="16"/>
      <c r="D7" s="16"/>
      <c r="E7" s="16"/>
      <c r="F7" s="16"/>
      <c r="G7" s="16"/>
      <c r="H7" s="16" t="s">
        <v>107</v>
      </c>
      <c r="I7" s="16"/>
      <c r="J7" s="16"/>
      <c r="K7" s="16">
        <v>11.0</v>
      </c>
      <c r="L7" s="16" t="s">
        <v>108</v>
      </c>
      <c r="M7" s="16"/>
      <c r="N7" s="16"/>
    </row>
    <row r="8" ht="22.5" customHeight="1">
      <c r="A8" s="5"/>
      <c r="B8" s="5"/>
      <c r="C8" s="5"/>
      <c r="D8" s="5"/>
      <c r="E8" s="5"/>
      <c r="F8" s="5"/>
      <c r="G8" s="5"/>
      <c r="H8" s="5"/>
      <c r="I8" s="5"/>
      <c r="J8" s="5"/>
      <c r="K8" s="5">
        <v>12.0</v>
      </c>
      <c r="L8" s="5"/>
      <c r="M8" s="5"/>
      <c r="N8" s="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N8"/>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4748B"/>
    <pageSetUpPr/>
  </sheetPr>
  <sheetViews>
    <sheetView showGridLines="0" workbookViewId="0">
      <pane ySplit="1" topLeftCell="A2" activePane="bottomLeft" state="frozen"/>
      <selection pane="bottomLeft"/>
    </sheetView>
  </sheetViews>
  <sheetFormatPr customHeight="1" defaultColWidth="12.63" defaultRowHeight="15.0"/>
  <cols>
    <col min="1" max="1" width="10" customWidth="1"/>
    <col min="2" max="2" width="10" customWidth="1"/>
    <col min="3" max="3" width="10" customWidth="1"/>
    <col min="4" max="4" width="10" customWidth="1"/>
    <col min="5" max="5" width="21" customWidth="1"/>
  </cols>
  <sheetData>
    <row r="1" ht="31.5" customHeight="1">
      <c r="A1" s="3" t="s">
        <v>109</v>
      </c>
      <c r="B1" s="3" t="s">
        <v>110</v>
      </c>
      <c r="C1" s="3" t="s">
        <v>111</v>
      </c>
      <c r="D1" s="3" t="s">
        <v>112</v>
      </c>
      <c r="E1" s="3" t="s">
        <v>113</v>
      </c>
    </row>
    <row r="2" ht="22.5" customHeight="1">
      <c r="A2" s="19" t="s">
        <v>114</v>
      </c>
      <c r="B2" s="19" t="s">
        <v>115</v>
      </c>
      <c r="C2" s="19" t="s">
        <v>116</v>
      </c>
      <c r="D2" s="19" t="s">
        <v>117</v>
      </c>
      <c r="E2" s="21">
        <v>46174.0</v>
      </c>
    </row>
    <row r="3" ht="22.5" customHeight="1">
      <c r="A3" s="15" t="s">
        <v>118</v>
      </c>
      <c r="B3" s="15">
        <v>600000.0</v>
      </c>
      <c r="C3" s="15" t="s">
        <v>119</v>
      </c>
      <c r="D3" s="15" t="s">
        <v>120</v>
      </c>
      <c r="E3" s="22">
        <v>46174.0</v>
      </c>
    </row>
    <row r="4" ht="22.5" customHeight="1">
      <c r="A4" s="19" t="s">
        <v>121</v>
      </c>
      <c r="B4" s="19" t="s">
        <v>122</v>
      </c>
      <c r="C4" s="19" t="s">
        <v>123</v>
      </c>
      <c r="D4" s="19" t="s">
        <v>124</v>
      </c>
      <c r="E4" s="21">
        <v>46174.0</v>
      </c>
    </row>
    <row r="5" ht="22.5" customHeight="1">
      <c r="A5" s="15" t="s">
        <v>125</v>
      </c>
      <c r="B5" s="15"/>
      <c r="C5" s="15" t="s">
        <v>116</v>
      </c>
      <c r="D5" s="15" t="s">
        <v>126</v>
      </c>
      <c r="E5" s="22"/>
    </row>
    <row r="6">
      <c r="A6" s="23"/>
      <c r="B6" s="23"/>
      <c r="C6" s="23"/>
      <c r="D6" s="23"/>
      <c r="E6" s="24"/>
    </row>
    <row r="7">
      <c r="A7" s="25"/>
      <c r="B7" s="25"/>
      <c r="C7" s="25"/>
      <c r="D7" s="25"/>
      <c r="E7" s="26"/>
    </row>
    <row r="8">
      <c r="A8" s="23"/>
      <c r="B8" s="23"/>
      <c r="C8" s="23"/>
      <c r="D8" s="23"/>
      <c r="E8" s="24"/>
    </row>
    <row r="9">
      <c r="A9" s="25"/>
      <c r="B9" s="25"/>
      <c r="C9" s="25"/>
      <c r="D9" s="25"/>
      <c r="E9" s="26"/>
    </row>
    <row r="10">
      <c r="A10" s="23"/>
      <c r="B10" s="23"/>
      <c r="C10" s="23"/>
      <c r="D10" s="23"/>
      <c r="E10" s="24"/>
    </row>
    <row r="11">
      <c r="A11" s="25"/>
      <c r="B11" s="25"/>
      <c r="C11" s="25"/>
      <c r="D11" s="25"/>
      <c r="E11" s="26"/>
    </row>
    <row r="12">
      <c r="A12" s="23"/>
      <c r="B12" s="23"/>
      <c r="C12" s="23"/>
      <c r="D12" s="23"/>
      <c r="E12" s="24"/>
    </row>
    <row r="13">
      <c r="A13" s="25"/>
      <c r="B13" s="25"/>
      <c r="C13" s="25"/>
      <c r="D13" s="25"/>
      <c r="E13" s="26"/>
    </row>
    <row r="14">
      <c r="A14" s="23"/>
      <c r="B14" s="23"/>
      <c r="C14" s="23"/>
      <c r="D14" s="23"/>
      <c r="E14" s="24"/>
    </row>
    <row r="15">
      <c r="A15" s="25"/>
      <c r="B15" s="25"/>
      <c r="C15" s="25"/>
      <c r="D15" s="25"/>
      <c r="E15" s="26"/>
    </row>
    <row r="16">
      <c r="A16" s="23"/>
      <c r="B16" s="23"/>
      <c r="C16" s="23"/>
      <c r="D16" s="23"/>
      <c r="E16" s="24"/>
    </row>
    <row r="17">
      <c r="A17" s="25"/>
      <c r="B17" s="25"/>
      <c r="C17" s="25"/>
      <c r="D17" s="25"/>
      <c r="E17" s="26"/>
    </row>
    <row r="18">
      <c r="A18" s="23"/>
      <c r="B18" s="23"/>
      <c r="C18" s="23"/>
      <c r="D18" s="23"/>
      <c r="E18" s="24"/>
    </row>
    <row r="19">
      <c r="A19" s="25"/>
      <c r="B19" s="25"/>
      <c r="C19" s="25"/>
      <c r="D19" s="25"/>
      <c r="E19" s="26"/>
    </row>
    <row r="20">
      <c r="A20" s="23"/>
      <c r="B20" s="23"/>
      <c r="C20" s="23"/>
      <c r="D20" s="23"/>
      <c r="E20" s="24"/>
    </row>
    <row r="21" ht="15.75" customHeight="1">
      <c r="A21" s="25"/>
      <c r="B21" s="25"/>
      <c r="C21" s="25"/>
      <c r="D21" s="25"/>
      <c r="E21" s="26"/>
    </row>
    <row r="22" ht="15.75" customHeight="1">
      <c r="A22" s="23"/>
      <c r="B22" s="23"/>
      <c r="C22" s="23"/>
      <c r="D22" s="23"/>
      <c r="E22" s="24"/>
    </row>
    <row r="23" ht="15.75" customHeight="1">
      <c r="A23" s="25"/>
      <c r="B23" s="25"/>
      <c r="C23" s="25"/>
      <c r="D23" s="25"/>
      <c r="E23" s="26"/>
    </row>
    <row r="24" ht="15.75" customHeight="1">
      <c r="A24" s="23"/>
      <c r="B24" s="23"/>
      <c r="C24" s="23"/>
      <c r="D24" s="23"/>
      <c r="E24" s="24"/>
    </row>
    <row r="25" ht="15.75" customHeight="1">
      <c r="A25" s="25"/>
      <c r="B25" s="25"/>
      <c r="C25" s="25"/>
      <c r="D25" s="25"/>
      <c r="E25" s="26"/>
    </row>
    <row r="26" ht="15.75" customHeight="1">
      <c r="A26" s="23"/>
      <c r="B26" s="23"/>
      <c r="C26" s="23"/>
      <c r="D26" s="23"/>
      <c r="E26" s="24"/>
    </row>
    <row r="27" ht="15.75" customHeight="1">
      <c r="A27" s="25"/>
      <c r="B27" s="25"/>
      <c r="C27" s="25"/>
      <c r="D27" s="25"/>
      <c r="E27" s="26"/>
    </row>
    <row r="28" ht="15.75" customHeight="1">
      <c r="A28" s="23"/>
      <c r="B28" s="23"/>
      <c r="C28" s="23"/>
      <c r="D28" s="23"/>
      <c r="E28" s="24"/>
    </row>
    <row r="29" ht="15.75" customHeight="1">
      <c r="A29" s="25"/>
      <c r="B29" s="25"/>
      <c r="C29" s="25"/>
      <c r="D29" s="25"/>
      <c r="E29" s="26"/>
    </row>
    <row r="30" ht="15.75" customHeight="1">
      <c r="A30" s="23"/>
      <c r="B30" s="23"/>
      <c r="C30" s="23"/>
      <c r="D30" s="23"/>
      <c r="E30" s="24"/>
    </row>
    <row r="31" ht="15.75" customHeight="1">
      <c r="A31" s="25"/>
      <c r="B31" s="25"/>
      <c r="C31" s="25"/>
      <c r="D31" s="25"/>
      <c r="E31" s="26"/>
    </row>
    <row r="32" ht="15.75" customHeight="1">
      <c r="A32" s="23"/>
      <c r="B32" s="23"/>
      <c r="C32" s="23"/>
      <c r="D32" s="23"/>
      <c r="E32" s="24"/>
    </row>
    <row r="33" ht="15.75" customHeight="1">
      <c r="A33" s="25"/>
      <c r="B33" s="25"/>
      <c r="C33" s="25"/>
      <c r="D33" s="25"/>
      <c r="E33" s="26"/>
    </row>
    <row r="34" ht="15.75" customHeight="1">
      <c r="A34" s="23"/>
      <c r="B34" s="23"/>
      <c r="C34" s="23"/>
      <c r="D34" s="23"/>
      <c r="E34" s="24"/>
    </row>
    <row r="35" ht="15.75" customHeight="1">
      <c r="A35" s="25"/>
      <c r="B35" s="25"/>
      <c r="C35" s="25"/>
      <c r="D35" s="25"/>
      <c r="E35" s="26"/>
    </row>
    <row r="36" ht="15.75" customHeight="1">
      <c r="A36" s="23"/>
      <c r="B36" s="23"/>
      <c r="C36" s="23"/>
      <c r="D36" s="23"/>
      <c r="E36" s="24"/>
    </row>
    <row r="37" ht="15.75" customHeight="1">
      <c r="A37" s="25"/>
      <c r="B37" s="25"/>
      <c r="C37" s="25"/>
      <c r="D37" s="25"/>
      <c r="E37" s="26"/>
    </row>
    <row r="38" ht="15.75" customHeight="1">
      <c r="A38" s="23"/>
      <c r="B38" s="23"/>
      <c r="C38" s="23"/>
      <c r="D38" s="23"/>
      <c r="E38" s="24"/>
    </row>
    <row r="39" ht="15.75" customHeight="1">
      <c r="A39" s="25"/>
      <c r="B39" s="25"/>
      <c r="C39" s="25"/>
      <c r="D39" s="25"/>
      <c r="E39" s="26"/>
    </row>
    <row r="40" ht="15.75" customHeight="1">
      <c r="A40" s="23"/>
      <c r="B40" s="23"/>
      <c r="C40" s="23"/>
      <c r="D40" s="23"/>
      <c r="E40" s="24"/>
    </row>
    <row r="41" ht="15.75" customHeight="1">
      <c r="A41" s="25"/>
      <c r="B41" s="25"/>
      <c r="C41" s="25"/>
      <c r="D41" s="25"/>
      <c r="E41" s="26"/>
    </row>
    <row r="42" ht="15.75" customHeight="1">
      <c r="A42" s="23"/>
      <c r="B42" s="23"/>
      <c r="C42" s="23"/>
      <c r="D42" s="23"/>
      <c r="E42" s="24"/>
    </row>
    <row r="43" ht="15.75" customHeight="1">
      <c r="A43" s="25"/>
      <c r="B43" s="25"/>
      <c r="C43" s="25"/>
      <c r="D43" s="25"/>
      <c r="E43" s="26"/>
    </row>
    <row r="44" ht="15.75" customHeight="1">
      <c r="A44" s="23"/>
      <c r="B44" s="23"/>
      <c r="C44" s="23"/>
      <c r="D44" s="23"/>
      <c r="E44" s="24"/>
    </row>
    <row r="45" ht="15.75" customHeight="1">
      <c r="A45" s="25"/>
      <c r="B45" s="25"/>
      <c r="C45" s="25"/>
      <c r="D45" s="25"/>
      <c r="E45" s="26"/>
    </row>
    <row r="46" ht="15.75" customHeight="1">
      <c r="A46" s="23"/>
      <c r="B46" s="23"/>
      <c r="C46" s="23"/>
      <c r="D46" s="23"/>
      <c r="E46" s="24"/>
    </row>
    <row r="47" ht="15.75" customHeight="1">
      <c r="A47" s="25"/>
      <c r="B47" s="25"/>
      <c r="C47" s="25"/>
      <c r="D47" s="25"/>
      <c r="E47" s="26"/>
    </row>
    <row r="48" ht="15.75" customHeight="1">
      <c r="A48" s="23"/>
      <c r="B48" s="23"/>
      <c r="C48" s="23"/>
      <c r="D48" s="23"/>
      <c r="E48" s="24"/>
    </row>
    <row r="49" ht="15.75" customHeight="1">
      <c r="A49" s="25"/>
      <c r="B49" s="25"/>
      <c r="C49" s="25"/>
      <c r="D49" s="25"/>
      <c r="E49" s="26"/>
    </row>
    <row r="50" ht="15.75" customHeight="1">
      <c r="A50" s="23"/>
      <c r="B50" s="23"/>
      <c r="C50" s="23"/>
      <c r="D50" s="23"/>
      <c r="E50" s="24"/>
    </row>
    <row r="51" ht="15.75" customHeight="1">
      <c r="A51" s="25"/>
      <c r="B51" s="25"/>
      <c r="C51" s="25"/>
      <c r="D51" s="25"/>
      <c r="E51" s="26"/>
    </row>
    <row r="52" ht="15.75" customHeight="1">
      <c r="A52" s="23"/>
      <c r="B52" s="23"/>
      <c r="C52" s="23"/>
      <c r="D52" s="23"/>
      <c r="E52" s="24"/>
    </row>
    <row r="53" ht="15.75" customHeight="1">
      <c r="A53" s="25"/>
      <c r="B53" s="25"/>
      <c r="C53" s="25"/>
      <c r="D53" s="25"/>
      <c r="E53" s="26"/>
    </row>
    <row r="54" ht="15.75" customHeight="1">
      <c r="A54" s="23"/>
      <c r="B54" s="23"/>
      <c r="C54" s="23"/>
      <c r="D54" s="23"/>
      <c r="E54" s="24"/>
    </row>
    <row r="55" ht="15.75" customHeight="1">
      <c r="A55" s="25"/>
      <c r="B55" s="25"/>
      <c r="C55" s="25"/>
      <c r="D55" s="25"/>
      <c r="E55" s="26"/>
    </row>
    <row r="56" ht="15.75" customHeight="1">
      <c r="A56" s="23"/>
      <c r="B56" s="23"/>
      <c r="C56" s="23"/>
      <c r="D56" s="23"/>
      <c r="E56" s="24"/>
    </row>
    <row r="57" ht="15.75" customHeight="1">
      <c r="A57" s="25"/>
      <c r="B57" s="25"/>
      <c r="C57" s="25"/>
      <c r="D57" s="25"/>
      <c r="E57" s="26"/>
    </row>
    <row r="58" ht="15.75" customHeight="1">
      <c r="A58" s="23"/>
      <c r="B58" s="23"/>
      <c r="C58" s="23"/>
      <c r="D58" s="23"/>
      <c r="E58" s="24"/>
    </row>
    <row r="59" ht="15.75" customHeight="1">
      <c r="A59" s="25"/>
      <c r="B59" s="25"/>
      <c r="C59" s="25"/>
      <c r="D59" s="25"/>
      <c r="E59" s="26"/>
    </row>
    <row r="60" ht="15.75" customHeight="1">
      <c r="A60" s="23"/>
      <c r="B60" s="23"/>
      <c r="C60" s="23"/>
      <c r="D60" s="23"/>
      <c r="E60" s="24"/>
    </row>
    <row r="61" ht="15.75" customHeight="1">
      <c r="A61" s="25"/>
      <c r="B61" s="25"/>
      <c r="C61" s="25"/>
      <c r="D61" s="25"/>
      <c r="E61" s="26"/>
    </row>
    <row r="62" ht="15.75" customHeight="1">
      <c r="A62" s="23"/>
      <c r="B62" s="23"/>
      <c r="C62" s="23"/>
      <c r="D62" s="23"/>
      <c r="E62" s="24"/>
    </row>
    <row r="63" ht="15.75" customHeight="1">
      <c r="A63" s="25"/>
      <c r="B63" s="25"/>
      <c r="C63" s="25"/>
      <c r="D63" s="25"/>
      <c r="E63" s="26"/>
    </row>
    <row r="64" ht="15.75" customHeight="1">
      <c r="A64" s="23"/>
      <c r="B64" s="23"/>
      <c r="C64" s="23"/>
      <c r="D64" s="23"/>
      <c r="E64" s="24"/>
    </row>
    <row r="65" ht="15.75" customHeight="1">
      <c r="A65" s="25"/>
      <c r="B65" s="25"/>
      <c r="C65" s="25"/>
      <c r="D65" s="25"/>
      <c r="E65" s="26"/>
    </row>
    <row r="66" ht="15.75" customHeight="1">
      <c r="A66" s="23"/>
      <c r="B66" s="23"/>
      <c r="C66" s="23"/>
      <c r="D66" s="23"/>
      <c r="E66" s="24"/>
    </row>
    <row r="67" ht="15.75" customHeight="1">
      <c r="A67" s="25"/>
      <c r="B67" s="25"/>
      <c r="C67" s="25"/>
      <c r="D67" s="25"/>
      <c r="E67" s="26"/>
    </row>
    <row r="68" ht="15.75" customHeight="1">
      <c r="A68" s="23"/>
      <c r="B68" s="23"/>
      <c r="C68" s="23"/>
      <c r="D68" s="23"/>
      <c r="E68" s="24"/>
    </row>
    <row r="69" ht="15.75" customHeight="1">
      <c r="A69" s="25"/>
      <c r="B69" s="25"/>
      <c r="C69" s="25"/>
      <c r="D69" s="25"/>
      <c r="E69" s="26"/>
    </row>
    <row r="70" ht="15.75" customHeight="1">
      <c r="A70" s="23"/>
      <c r="B70" s="23"/>
      <c r="C70" s="23"/>
      <c r="D70" s="23"/>
      <c r="E70" s="24"/>
    </row>
    <row r="71" ht="15.75" customHeight="1">
      <c r="A71" s="25"/>
      <c r="B71" s="25"/>
      <c r="C71" s="25"/>
      <c r="D71" s="25"/>
      <c r="E71" s="26"/>
    </row>
    <row r="72" ht="15.75" customHeight="1">
      <c r="A72" s="23"/>
      <c r="B72" s="23"/>
      <c r="C72" s="23"/>
      <c r="D72" s="23"/>
      <c r="E72" s="24"/>
    </row>
    <row r="73" ht="15.75" customHeight="1">
      <c r="A73" s="25"/>
      <c r="B73" s="25"/>
      <c r="C73" s="25"/>
      <c r="D73" s="25"/>
      <c r="E73" s="26"/>
    </row>
    <row r="74" ht="15.75" customHeight="1">
      <c r="A74" s="23"/>
      <c r="B74" s="23"/>
      <c r="C74" s="23"/>
      <c r="D74" s="23"/>
      <c r="E74" s="24"/>
    </row>
    <row r="75" ht="15.75" customHeight="1">
      <c r="A75" s="25"/>
      <c r="B75" s="25"/>
      <c r="C75" s="25"/>
      <c r="D75" s="25"/>
      <c r="E75" s="26"/>
    </row>
    <row r="76" ht="15.75" customHeight="1">
      <c r="A76" s="23"/>
      <c r="B76" s="23"/>
      <c r="C76" s="23"/>
      <c r="D76" s="23"/>
      <c r="E76" s="24"/>
    </row>
    <row r="77" ht="15.75" customHeight="1">
      <c r="A77" s="25"/>
      <c r="B77" s="25"/>
      <c r="C77" s="25"/>
      <c r="D77" s="25"/>
      <c r="E77" s="26"/>
    </row>
    <row r="78" ht="15.75" customHeight="1">
      <c r="A78" s="23"/>
      <c r="B78" s="23"/>
      <c r="C78" s="23"/>
      <c r="D78" s="23"/>
      <c r="E78" s="24"/>
    </row>
    <row r="79" ht="15.75" customHeight="1">
      <c r="A79" s="25"/>
      <c r="B79" s="25"/>
      <c r="C79" s="25"/>
      <c r="D79" s="25"/>
      <c r="E79" s="26"/>
    </row>
    <row r="80" ht="15.75" customHeight="1">
      <c r="A80" s="23"/>
      <c r="B80" s="23"/>
      <c r="C80" s="23"/>
      <c r="D80" s="23"/>
      <c r="E80" s="24"/>
    </row>
    <row r="81" ht="15.75" customHeight="1">
      <c r="A81" s="25"/>
      <c r="B81" s="25"/>
      <c r="C81" s="25"/>
      <c r="D81" s="25"/>
      <c r="E81" s="26"/>
    </row>
    <row r="82" ht="15.75" customHeight="1">
      <c r="A82" s="23"/>
      <c r="B82" s="23"/>
      <c r="C82" s="23"/>
      <c r="D82" s="23"/>
      <c r="E82" s="24"/>
    </row>
    <row r="83" ht="15.75" customHeight="1">
      <c r="A83" s="25"/>
      <c r="B83" s="25"/>
      <c r="C83" s="25"/>
      <c r="D83" s="25"/>
      <c r="E83" s="26"/>
    </row>
    <row r="84" ht="15.75" customHeight="1">
      <c r="A84" s="23"/>
      <c r="B84" s="23"/>
      <c r="C84" s="23"/>
      <c r="D84" s="23"/>
      <c r="E84" s="24"/>
    </row>
    <row r="85" ht="15.75" customHeight="1">
      <c r="A85" s="25"/>
      <c r="B85" s="25"/>
      <c r="C85" s="25"/>
      <c r="D85" s="25"/>
      <c r="E85" s="26"/>
    </row>
    <row r="86" ht="15.75" customHeight="1">
      <c r="A86" s="23"/>
      <c r="B86" s="23"/>
      <c r="C86" s="23"/>
      <c r="D86" s="23"/>
      <c r="E86" s="24"/>
    </row>
    <row r="87" ht="15.75" customHeight="1">
      <c r="A87" s="25"/>
      <c r="B87" s="25"/>
      <c r="C87" s="25"/>
      <c r="D87" s="25"/>
      <c r="E87" s="26"/>
    </row>
    <row r="88" ht="15.75" customHeight="1">
      <c r="A88" s="23"/>
      <c r="B88" s="23"/>
      <c r="C88" s="23"/>
      <c r="D88" s="23"/>
      <c r="E88" s="24"/>
    </row>
    <row r="89" ht="15.75" customHeight="1">
      <c r="A89" s="25"/>
      <c r="B89" s="25"/>
      <c r="C89" s="25"/>
      <c r="D89" s="25"/>
      <c r="E89" s="26"/>
    </row>
    <row r="90" ht="15.75" customHeight="1">
      <c r="A90" s="23"/>
      <c r="B90" s="23"/>
      <c r="C90" s="23"/>
      <c r="D90" s="23"/>
      <c r="E90" s="24"/>
    </row>
    <row r="91" ht="15.75" customHeight="1">
      <c r="A91" s="25"/>
      <c r="B91" s="25"/>
      <c r="C91" s="25"/>
      <c r="D91" s="25"/>
      <c r="E91" s="26"/>
    </row>
    <row r="92" ht="15.75" customHeight="1">
      <c r="A92" s="23"/>
      <c r="B92" s="23"/>
      <c r="C92" s="23"/>
      <c r="D92" s="23"/>
      <c r="E92" s="24"/>
    </row>
    <row r="93" ht="15.75" customHeight="1">
      <c r="A93" s="25"/>
      <c r="B93" s="25"/>
      <c r="C93" s="25"/>
      <c r="D93" s="25"/>
      <c r="E93" s="26"/>
    </row>
    <row r="94" ht="15.75" customHeight="1">
      <c r="A94" s="23"/>
      <c r="B94" s="23"/>
      <c r="C94" s="23"/>
      <c r="D94" s="23"/>
      <c r="E94" s="24"/>
    </row>
    <row r="95" ht="15.75" customHeight="1">
      <c r="A95" s="25"/>
      <c r="B95" s="25"/>
      <c r="C95" s="25"/>
      <c r="D95" s="25"/>
      <c r="E95" s="26"/>
    </row>
    <row r="96" ht="15.75" customHeight="1">
      <c r="A96" s="23"/>
      <c r="B96" s="23"/>
      <c r="C96" s="23"/>
      <c r="D96" s="23"/>
      <c r="E96" s="24"/>
    </row>
    <row r="97" ht="15.75" customHeight="1">
      <c r="A97" s="25"/>
      <c r="B97" s="25"/>
      <c r="C97" s="25"/>
      <c r="D97" s="25"/>
      <c r="E97" s="26"/>
    </row>
    <row r="98" ht="15.75" customHeight="1">
      <c r="A98" s="23"/>
      <c r="B98" s="23"/>
      <c r="C98" s="23"/>
      <c r="D98" s="23"/>
      <c r="E98" s="24"/>
    </row>
    <row r="99" ht="15.75" customHeight="1">
      <c r="A99" s="25"/>
      <c r="B99" s="25"/>
      <c r="C99" s="25"/>
      <c r="D99" s="25"/>
      <c r="E99" s="26"/>
    </row>
    <row r="100" ht="15.75" customHeight="1">
      <c r="A100" s="23"/>
      <c r="B100" s="23"/>
      <c r="C100" s="23"/>
      <c r="D100" s="23"/>
      <c r="E100" s="24"/>
    </row>
    <row r="101" ht="15.75" customHeight="1">
      <c r="A101" s="25"/>
      <c r="B101" s="25"/>
      <c r="C101" s="25"/>
      <c r="D101" s="25"/>
      <c r="E101" s="26"/>
    </row>
    <row r="102" ht="15.75" customHeight="1">
      <c r="A102" s="23"/>
      <c r="B102" s="23"/>
      <c r="C102" s="23"/>
      <c r="D102" s="23"/>
      <c r="E102" s="24"/>
    </row>
    <row r="103" ht="15.75" customHeight="1">
      <c r="A103" s="25"/>
      <c r="B103" s="25"/>
      <c r="C103" s="25"/>
      <c r="D103" s="25"/>
      <c r="E103" s="26"/>
    </row>
    <row r="104" ht="15.75" customHeight="1">
      <c r="A104" s="23"/>
      <c r="B104" s="23"/>
      <c r="C104" s="23"/>
      <c r="D104" s="23"/>
      <c r="E104" s="24"/>
    </row>
    <row r="105" ht="15.75" customHeight="1">
      <c r="A105" s="25"/>
      <c r="B105" s="25"/>
      <c r="C105" s="25"/>
      <c r="D105" s="25"/>
      <c r="E105" s="26"/>
    </row>
    <row r="106" ht="15.75" customHeight="1">
      <c r="A106" s="23"/>
      <c r="B106" s="23"/>
      <c r="C106" s="23"/>
      <c r="D106" s="23"/>
      <c r="E106" s="24"/>
    </row>
    <row r="107" ht="15.75" customHeight="1">
      <c r="A107" s="25"/>
      <c r="B107" s="25"/>
      <c r="C107" s="25"/>
      <c r="D107" s="25"/>
      <c r="E107" s="26"/>
    </row>
    <row r="108" ht="15.75" customHeight="1">
      <c r="A108" s="23"/>
      <c r="B108" s="23"/>
      <c r="C108" s="23"/>
      <c r="D108" s="23"/>
      <c r="E108" s="24"/>
    </row>
    <row r="109" ht="15.75" customHeight="1">
      <c r="A109" s="25"/>
      <c r="B109" s="25"/>
      <c r="C109" s="25"/>
      <c r="D109" s="25"/>
      <c r="E109" s="26"/>
    </row>
    <row r="110" ht="15.75" customHeight="1">
      <c r="A110" s="23"/>
      <c r="B110" s="23"/>
      <c r="C110" s="23"/>
      <c r="D110" s="23"/>
      <c r="E110" s="24"/>
    </row>
    <row r="111" ht="15.75" customHeight="1">
      <c r="A111" s="25"/>
      <c r="B111" s="25"/>
      <c r="C111" s="25"/>
      <c r="D111" s="25"/>
      <c r="E111" s="26"/>
    </row>
    <row r="112" ht="15.75" customHeight="1">
      <c r="A112" s="23"/>
      <c r="B112" s="23"/>
      <c r="C112" s="23"/>
      <c r="D112" s="23"/>
      <c r="E112" s="24"/>
    </row>
    <row r="113" ht="15.75" customHeight="1">
      <c r="A113" s="25"/>
      <c r="B113" s="25"/>
      <c r="C113" s="25"/>
      <c r="D113" s="25"/>
      <c r="E113" s="26"/>
    </row>
    <row r="114" ht="15.75" customHeight="1">
      <c r="A114" s="23"/>
      <c r="B114" s="23"/>
      <c r="C114" s="23"/>
      <c r="D114" s="23"/>
      <c r="E114" s="24"/>
    </row>
    <row r="115" ht="15.75" customHeight="1">
      <c r="A115" s="25"/>
      <c r="B115" s="25"/>
      <c r="C115" s="25"/>
      <c r="D115" s="25"/>
      <c r="E115" s="26"/>
    </row>
    <row r="116" ht="15.75" customHeight="1">
      <c r="A116" s="23"/>
      <c r="B116" s="23"/>
      <c r="C116" s="23"/>
      <c r="D116" s="23"/>
      <c r="E116" s="24"/>
    </row>
    <row r="117" ht="15.75" customHeight="1">
      <c r="A117" s="25"/>
      <c r="B117" s="25"/>
      <c r="C117" s="25"/>
      <c r="D117" s="25"/>
      <c r="E117" s="26"/>
    </row>
    <row r="118" ht="15.75" customHeight="1">
      <c r="A118" s="23"/>
      <c r="B118" s="23"/>
      <c r="C118" s="23"/>
      <c r="D118" s="23"/>
      <c r="E118" s="24"/>
    </row>
    <row r="119" ht="15.75" customHeight="1">
      <c r="A119" s="25"/>
      <c r="B119" s="25"/>
      <c r="C119" s="25"/>
      <c r="D119" s="25"/>
      <c r="E119" s="26"/>
    </row>
    <row r="120" ht="15.75" customHeight="1">
      <c r="A120" s="23"/>
      <c r="B120" s="23"/>
      <c r="C120" s="23"/>
      <c r="D120" s="23"/>
      <c r="E120" s="24"/>
    </row>
    <row r="121" ht="15.75" customHeight="1">
      <c r="A121" s="25"/>
      <c r="B121" s="25"/>
      <c r="C121" s="25"/>
      <c r="D121" s="25"/>
      <c r="E121" s="26"/>
    </row>
    <row r="122" ht="15.75" customHeight="1">
      <c r="A122" s="23"/>
      <c r="B122" s="23"/>
      <c r="C122" s="23"/>
      <c r="D122" s="23"/>
      <c r="E122" s="24"/>
    </row>
    <row r="123" ht="15.75" customHeight="1">
      <c r="A123" s="25"/>
      <c r="B123" s="25"/>
      <c r="C123" s="25"/>
      <c r="D123" s="25"/>
      <c r="E123" s="26"/>
    </row>
    <row r="124" ht="15.75" customHeight="1">
      <c r="A124" s="23"/>
      <c r="B124" s="23"/>
      <c r="C124" s="23"/>
      <c r="D124" s="23"/>
      <c r="E124" s="24"/>
    </row>
    <row r="125" ht="15.75" customHeight="1">
      <c r="A125" s="25"/>
      <c r="B125" s="25"/>
      <c r="C125" s="25"/>
      <c r="D125" s="25"/>
      <c r="E125" s="26"/>
    </row>
    <row r="126" ht="15.75" customHeight="1">
      <c r="A126" s="23"/>
      <c r="B126" s="23"/>
      <c r="C126" s="23"/>
      <c r="D126" s="23"/>
      <c r="E126" s="24"/>
    </row>
    <row r="127" ht="15.75" customHeight="1">
      <c r="A127" s="25"/>
      <c r="B127" s="25"/>
      <c r="C127" s="25"/>
      <c r="D127" s="25"/>
      <c r="E127" s="26"/>
    </row>
    <row r="128" ht="15.75" customHeight="1">
      <c r="A128" s="23"/>
      <c r="B128" s="23"/>
      <c r="C128" s="23"/>
      <c r="D128" s="23"/>
      <c r="E128" s="24"/>
    </row>
    <row r="129" ht="15.75" customHeight="1">
      <c r="A129" s="25"/>
      <c r="B129" s="25"/>
      <c r="C129" s="25"/>
      <c r="D129" s="25"/>
      <c r="E129" s="26"/>
    </row>
    <row r="130" ht="15.75" customHeight="1">
      <c r="A130" s="23"/>
      <c r="B130" s="23"/>
      <c r="C130" s="23"/>
      <c r="D130" s="23"/>
      <c r="E130" s="24"/>
    </row>
    <row r="131" ht="15.75" customHeight="1">
      <c r="A131" s="25"/>
      <c r="B131" s="25"/>
      <c r="C131" s="25"/>
      <c r="D131" s="25"/>
      <c r="E131" s="26"/>
    </row>
    <row r="132" ht="15.75" customHeight="1">
      <c r="A132" s="23"/>
      <c r="B132" s="23"/>
      <c r="C132" s="23"/>
      <c r="D132" s="23"/>
      <c r="E132" s="24"/>
    </row>
    <row r="133" ht="15.75" customHeight="1">
      <c r="A133" s="25"/>
      <c r="B133" s="25"/>
      <c r="C133" s="25"/>
      <c r="D133" s="25"/>
      <c r="E133" s="26"/>
    </row>
    <row r="134" ht="15.75" customHeight="1">
      <c r="A134" s="23"/>
      <c r="B134" s="23"/>
      <c r="C134" s="23"/>
      <c r="D134" s="23"/>
      <c r="E134" s="24"/>
    </row>
    <row r="135" ht="15.75" customHeight="1">
      <c r="A135" s="25"/>
      <c r="B135" s="25"/>
      <c r="C135" s="25"/>
      <c r="D135" s="25"/>
      <c r="E135" s="26"/>
    </row>
    <row r="136" ht="15.75" customHeight="1">
      <c r="A136" s="23"/>
      <c r="B136" s="23"/>
      <c r="C136" s="23"/>
      <c r="D136" s="23"/>
      <c r="E136" s="24"/>
    </row>
    <row r="137" ht="15.75" customHeight="1">
      <c r="A137" s="25"/>
      <c r="B137" s="25"/>
      <c r="C137" s="25"/>
      <c r="D137" s="25"/>
      <c r="E137" s="26"/>
    </row>
    <row r="138" ht="15.75" customHeight="1">
      <c r="A138" s="23"/>
      <c r="B138" s="23"/>
      <c r="C138" s="23"/>
      <c r="D138" s="23"/>
      <c r="E138" s="24"/>
    </row>
    <row r="139" ht="15.75" customHeight="1">
      <c r="A139" s="25"/>
      <c r="B139" s="25"/>
      <c r="C139" s="25"/>
      <c r="D139" s="25"/>
      <c r="E139" s="26"/>
    </row>
    <row r="140" ht="15.75" customHeight="1">
      <c r="A140" s="23"/>
      <c r="B140" s="23"/>
      <c r="C140" s="23"/>
      <c r="D140" s="23"/>
      <c r="E140" s="24"/>
    </row>
    <row r="141" ht="15.75" customHeight="1">
      <c r="A141" s="25"/>
      <c r="B141" s="25"/>
      <c r="C141" s="25"/>
      <c r="D141" s="25"/>
      <c r="E141" s="26"/>
    </row>
    <row r="142" ht="15.75" customHeight="1">
      <c r="A142" s="23"/>
      <c r="B142" s="23"/>
      <c r="C142" s="23"/>
      <c r="D142" s="23"/>
      <c r="E142" s="24"/>
    </row>
    <row r="143" ht="15.75" customHeight="1">
      <c r="A143" s="25"/>
      <c r="B143" s="25"/>
      <c r="C143" s="25"/>
      <c r="D143" s="25"/>
      <c r="E143" s="26"/>
    </row>
    <row r="144" ht="15.75" customHeight="1">
      <c r="A144" s="23"/>
      <c r="B144" s="23"/>
      <c r="C144" s="23"/>
      <c r="D144" s="23"/>
      <c r="E144" s="24"/>
    </row>
    <row r="145" ht="15.75" customHeight="1">
      <c r="A145" s="25"/>
      <c r="B145" s="25"/>
      <c r="C145" s="25"/>
      <c r="D145" s="25"/>
      <c r="E145" s="26"/>
    </row>
    <row r="146" ht="15.75" customHeight="1">
      <c r="A146" s="23"/>
      <c r="B146" s="23"/>
      <c r="C146" s="23"/>
      <c r="D146" s="23"/>
      <c r="E146" s="24"/>
    </row>
    <row r="147" ht="15.75" customHeight="1">
      <c r="A147" s="25"/>
      <c r="B147" s="25"/>
      <c r="C147" s="25"/>
      <c r="D147" s="25"/>
      <c r="E147" s="26"/>
    </row>
    <row r="148" ht="15.75" customHeight="1">
      <c r="A148" s="23"/>
      <c r="B148" s="23"/>
      <c r="C148" s="23"/>
      <c r="D148" s="23"/>
      <c r="E148" s="24"/>
    </row>
    <row r="149" ht="15.75" customHeight="1">
      <c r="A149" s="25"/>
      <c r="B149" s="25"/>
      <c r="C149" s="25"/>
      <c r="D149" s="25"/>
      <c r="E149" s="26"/>
    </row>
    <row r="150" ht="15.75" customHeight="1">
      <c r="A150" s="23"/>
      <c r="B150" s="23"/>
      <c r="C150" s="23"/>
      <c r="D150" s="23"/>
      <c r="E150" s="24"/>
    </row>
    <row r="151" ht="15.75" customHeight="1">
      <c r="A151" s="25"/>
      <c r="B151" s="25"/>
      <c r="C151" s="25"/>
      <c r="D151" s="25"/>
      <c r="E151" s="26"/>
    </row>
    <row r="152" ht="15.75" customHeight="1">
      <c r="A152" s="23"/>
      <c r="B152" s="23"/>
      <c r="C152" s="23"/>
      <c r="D152" s="23"/>
      <c r="E152" s="24"/>
    </row>
    <row r="153" ht="15.75" customHeight="1">
      <c r="A153" s="25"/>
      <c r="B153" s="25"/>
      <c r="C153" s="25"/>
      <c r="D153" s="25"/>
      <c r="E153" s="26"/>
    </row>
    <row r="154" ht="15.75" customHeight="1">
      <c r="A154" s="23"/>
      <c r="B154" s="23"/>
      <c r="C154" s="23"/>
      <c r="D154" s="23"/>
      <c r="E154" s="24"/>
    </row>
    <row r="155" ht="15.75" customHeight="1">
      <c r="A155" s="25"/>
      <c r="B155" s="25"/>
      <c r="C155" s="25"/>
      <c r="D155" s="25"/>
      <c r="E155" s="26"/>
    </row>
    <row r="156" ht="15.75" customHeight="1">
      <c r="A156" s="23"/>
      <c r="B156" s="23"/>
      <c r="C156" s="23"/>
      <c r="D156" s="23"/>
      <c r="E156" s="24"/>
    </row>
    <row r="157" ht="15.75" customHeight="1">
      <c r="A157" s="25"/>
      <c r="B157" s="25"/>
      <c r="C157" s="25"/>
      <c r="D157" s="25"/>
      <c r="E157" s="26"/>
    </row>
    <row r="158" ht="15.75" customHeight="1">
      <c r="A158" s="23"/>
      <c r="B158" s="23"/>
      <c r="C158" s="23"/>
      <c r="D158" s="23"/>
      <c r="E158" s="24"/>
    </row>
    <row r="159" ht="15.75" customHeight="1">
      <c r="A159" s="25"/>
      <c r="B159" s="25"/>
      <c r="C159" s="25"/>
      <c r="D159" s="25"/>
      <c r="E159" s="26"/>
    </row>
    <row r="160" ht="15.75" customHeight="1">
      <c r="A160" s="23"/>
      <c r="B160" s="23"/>
      <c r="C160" s="23"/>
      <c r="D160" s="23"/>
      <c r="E160" s="24"/>
    </row>
    <row r="161" ht="15.75" customHeight="1">
      <c r="A161" s="25"/>
      <c r="B161" s="25"/>
      <c r="C161" s="25"/>
      <c r="D161" s="25"/>
      <c r="E161" s="26"/>
    </row>
    <row r="162" ht="15.75" customHeight="1">
      <c r="A162" s="23"/>
      <c r="B162" s="23"/>
      <c r="C162" s="23"/>
      <c r="D162" s="23"/>
      <c r="E162" s="24"/>
    </row>
    <row r="163" ht="15.75" customHeight="1">
      <c r="A163" s="25"/>
      <c r="B163" s="25"/>
      <c r="C163" s="25"/>
      <c r="D163" s="25"/>
      <c r="E163" s="26"/>
    </row>
    <row r="164" ht="15.75" customHeight="1">
      <c r="A164" s="23"/>
      <c r="B164" s="23"/>
      <c r="C164" s="23"/>
      <c r="D164" s="23"/>
      <c r="E164" s="24"/>
    </row>
    <row r="165" ht="15.75" customHeight="1">
      <c r="A165" s="25"/>
      <c r="B165" s="25"/>
      <c r="C165" s="25"/>
      <c r="D165" s="25"/>
      <c r="E165" s="26"/>
    </row>
    <row r="166" ht="15.75" customHeight="1">
      <c r="A166" s="23"/>
      <c r="B166" s="23"/>
      <c r="C166" s="23"/>
      <c r="D166" s="23"/>
      <c r="E166" s="24"/>
    </row>
    <row r="167" ht="15.75" customHeight="1">
      <c r="A167" s="25"/>
      <c r="B167" s="25"/>
      <c r="C167" s="25"/>
      <c r="D167" s="25"/>
      <c r="E167" s="26"/>
    </row>
    <row r="168" ht="15.75" customHeight="1">
      <c r="A168" s="23"/>
      <c r="B168" s="23"/>
      <c r="C168" s="23"/>
      <c r="D168" s="23"/>
      <c r="E168" s="24"/>
    </row>
    <row r="169" ht="15.75" customHeight="1">
      <c r="A169" s="25"/>
      <c r="B169" s="25"/>
      <c r="C169" s="25"/>
      <c r="D169" s="25"/>
      <c r="E169" s="26"/>
    </row>
    <row r="170" ht="15.75" customHeight="1">
      <c r="A170" s="23"/>
      <c r="B170" s="23"/>
      <c r="C170" s="23"/>
      <c r="D170" s="23"/>
      <c r="E170" s="24"/>
    </row>
    <row r="171" ht="15.75" customHeight="1">
      <c r="A171" s="25"/>
      <c r="B171" s="25"/>
      <c r="C171" s="25"/>
      <c r="D171" s="25"/>
      <c r="E171" s="26"/>
    </row>
    <row r="172" ht="15.75" customHeight="1">
      <c r="A172" s="23"/>
      <c r="B172" s="23"/>
      <c r="C172" s="23"/>
      <c r="D172" s="23"/>
      <c r="E172" s="24"/>
    </row>
    <row r="173" ht="15.75" customHeight="1">
      <c r="A173" s="25"/>
      <c r="B173" s="25"/>
      <c r="C173" s="25"/>
      <c r="D173" s="25"/>
      <c r="E173" s="26"/>
    </row>
    <row r="174" ht="15.75" customHeight="1">
      <c r="A174" s="23"/>
      <c r="B174" s="23"/>
      <c r="C174" s="23"/>
      <c r="D174" s="23"/>
      <c r="E174" s="24"/>
    </row>
    <row r="175" ht="15.75" customHeight="1">
      <c r="A175" s="25"/>
      <c r="B175" s="25"/>
      <c r="C175" s="25"/>
      <c r="D175" s="25"/>
      <c r="E175" s="26"/>
    </row>
    <row r="176" ht="15.75" customHeight="1">
      <c r="A176" s="23"/>
      <c r="B176" s="23"/>
      <c r="C176" s="23"/>
      <c r="D176" s="23"/>
      <c r="E176" s="24"/>
    </row>
    <row r="177" ht="15.75" customHeight="1">
      <c r="A177" s="25"/>
      <c r="B177" s="25"/>
      <c r="C177" s="25"/>
      <c r="D177" s="25"/>
      <c r="E177" s="26"/>
    </row>
    <row r="178" ht="15.75" customHeight="1">
      <c r="A178" s="23"/>
      <c r="B178" s="23"/>
      <c r="C178" s="23"/>
      <c r="D178" s="23"/>
      <c r="E178" s="24"/>
    </row>
    <row r="179" ht="15.75" customHeight="1">
      <c r="A179" s="25"/>
      <c r="B179" s="25"/>
      <c r="C179" s="25"/>
      <c r="D179" s="25"/>
      <c r="E179" s="26"/>
    </row>
    <row r="180" ht="15.75" customHeight="1">
      <c r="A180" s="23"/>
      <c r="B180" s="23"/>
      <c r="C180" s="23"/>
      <c r="D180" s="23"/>
      <c r="E180" s="24"/>
    </row>
    <row r="181" ht="15.75" customHeight="1">
      <c r="A181" s="25"/>
      <c r="B181" s="25"/>
      <c r="C181" s="25"/>
      <c r="D181" s="25"/>
      <c r="E181" s="26"/>
    </row>
    <row r="182" ht="15.75" customHeight="1">
      <c r="A182" s="23"/>
      <c r="B182" s="23"/>
      <c r="C182" s="23"/>
      <c r="D182" s="23"/>
      <c r="E182" s="24"/>
    </row>
    <row r="183" ht="15.75" customHeight="1">
      <c r="A183" s="25"/>
      <c r="B183" s="25"/>
      <c r="C183" s="25"/>
      <c r="D183" s="25"/>
      <c r="E183" s="26"/>
    </row>
    <row r="184" ht="15.75" customHeight="1">
      <c r="A184" s="23"/>
      <c r="B184" s="23"/>
      <c r="C184" s="23"/>
      <c r="D184" s="23"/>
      <c r="E184" s="24"/>
    </row>
    <row r="185" ht="15.75" customHeight="1">
      <c r="A185" s="25"/>
      <c r="B185" s="25"/>
      <c r="C185" s="25"/>
      <c r="D185" s="25"/>
      <c r="E185" s="26"/>
    </row>
    <row r="186" ht="15.75" customHeight="1">
      <c r="A186" s="23"/>
      <c r="B186" s="23"/>
      <c r="C186" s="23"/>
      <c r="D186" s="23"/>
      <c r="E186" s="24"/>
    </row>
    <row r="187" ht="15.75" customHeight="1">
      <c r="A187" s="25"/>
      <c r="B187" s="25"/>
      <c r="C187" s="25"/>
      <c r="D187" s="25"/>
      <c r="E187" s="26"/>
    </row>
    <row r="188" ht="15.75" customHeight="1">
      <c r="A188" s="23"/>
      <c r="B188" s="23"/>
      <c r="C188" s="23"/>
      <c r="D188" s="23"/>
      <c r="E188" s="24"/>
    </row>
    <row r="189" ht="15.75" customHeight="1">
      <c r="A189" s="25"/>
      <c r="B189" s="25"/>
      <c r="C189" s="25"/>
      <c r="D189" s="25"/>
      <c r="E189" s="26"/>
    </row>
    <row r="190" ht="15.75" customHeight="1">
      <c r="A190" s="23"/>
      <c r="B190" s="23"/>
      <c r="C190" s="23"/>
      <c r="D190" s="23"/>
      <c r="E190" s="24"/>
    </row>
    <row r="191" ht="15.75" customHeight="1">
      <c r="A191" s="25"/>
      <c r="B191" s="25"/>
      <c r="C191" s="25"/>
      <c r="D191" s="25"/>
      <c r="E191" s="26"/>
    </row>
    <row r="192" ht="15.75" customHeight="1">
      <c r="A192" s="23"/>
      <c r="B192" s="23"/>
      <c r="C192" s="23"/>
      <c r="D192" s="23"/>
      <c r="E192" s="24"/>
    </row>
    <row r="193" ht="15.75" customHeight="1">
      <c r="A193" s="25"/>
      <c r="B193" s="25"/>
      <c r="C193" s="25"/>
      <c r="D193" s="25"/>
      <c r="E193" s="26"/>
    </row>
    <row r="194" ht="15.75" customHeight="1">
      <c r="A194" s="23"/>
      <c r="B194" s="23"/>
      <c r="C194" s="23"/>
      <c r="D194" s="23"/>
      <c r="E194" s="24"/>
    </row>
    <row r="195" ht="15.75" customHeight="1">
      <c r="A195" s="25"/>
      <c r="B195" s="25"/>
      <c r="C195" s="25"/>
      <c r="D195" s="25"/>
      <c r="E195" s="26"/>
    </row>
    <row r="196" ht="15.75" customHeight="1">
      <c r="A196" s="23"/>
      <c r="B196" s="23"/>
      <c r="C196" s="23"/>
      <c r="D196" s="23"/>
      <c r="E196" s="24"/>
    </row>
    <row r="197" ht="15.75" customHeight="1">
      <c r="A197" s="25"/>
      <c r="B197" s="25"/>
      <c r="C197" s="25"/>
      <c r="D197" s="25"/>
      <c r="E197" s="26"/>
    </row>
    <row r="198" ht="15.75" customHeight="1">
      <c r="A198" s="23"/>
      <c r="B198" s="23"/>
      <c r="C198" s="23"/>
      <c r="D198" s="23"/>
      <c r="E198" s="24"/>
    </row>
    <row r="199" ht="15.75" customHeight="1">
      <c r="A199" s="25"/>
      <c r="B199" s="25"/>
      <c r="C199" s="25"/>
      <c r="D199" s="25"/>
      <c r="E199" s="26"/>
    </row>
    <row r="200" ht="15.75" customHeight="1">
      <c r="A200" s="23"/>
      <c r="B200" s="23"/>
      <c r="C200" s="23"/>
      <c r="D200" s="23"/>
      <c r="E200" s="24"/>
    </row>
    <row r="201" ht="15.75" customHeight="1">
      <c r="A201" s="25"/>
      <c r="B201" s="25"/>
      <c r="C201" s="25"/>
      <c r="D201" s="25"/>
      <c r="E201" s="26"/>
    </row>
    <row r="202" ht="15.75" customHeight="1">
      <c r="A202" s="23"/>
      <c r="B202" s="23"/>
      <c r="C202" s="23"/>
      <c r="D202" s="23"/>
      <c r="E202" s="24"/>
    </row>
    <row r="203" ht="15.75" customHeight="1">
      <c r="A203" s="25"/>
      <c r="B203" s="25"/>
      <c r="C203" s="25"/>
      <c r="D203" s="25"/>
      <c r="E203" s="26"/>
    </row>
    <row r="204" ht="15.75" customHeight="1">
      <c r="A204" s="23"/>
      <c r="B204" s="23"/>
      <c r="C204" s="23"/>
      <c r="D204" s="23"/>
      <c r="E204" s="24"/>
    </row>
    <row r="205" ht="15.75" customHeight="1">
      <c r="A205" s="25"/>
      <c r="B205" s="25"/>
      <c r="C205" s="25"/>
      <c r="D205" s="25"/>
      <c r="E205" s="26"/>
    </row>
    <row r="206" ht="15.75" customHeight="1">
      <c r="A206" s="23"/>
      <c r="B206" s="23"/>
      <c r="C206" s="23"/>
      <c r="D206" s="23"/>
      <c r="E206" s="24"/>
    </row>
    <row r="207" ht="15.75" customHeight="1">
      <c r="A207" s="25"/>
      <c r="B207" s="25"/>
      <c r="C207" s="25"/>
      <c r="D207" s="25"/>
      <c r="E207" s="26"/>
    </row>
    <row r="208" ht="15.75" customHeight="1">
      <c r="A208" s="23"/>
      <c r="B208" s="23"/>
      <c r="C208" s="23"/>
      <c r="D208" s="23"/>
      <c r="E208" s="24"/>
    </row>
    <row r="209" ht="15.75" customHeight="1">
      <c r="A209" s="25"/>
      <c r="B209" s="25"/>
      <c r="C209" s="25"/>
      <c r="D209" s="25"/>
      <c r="E209" s="26"/>
    </row>
    <row r="210" ht="15.75" customHeight="1">
      <c r="A210" s="23"/>
      <c r="B210" s="23"/>
      <c r="C210" s="23"/>
      <c r="D210" s="23"/>
      <c r="E210" s="24"/>
    </row>
    <row r="211" ht="15.75" customHeight="1">
      <c r="A211" s="25"/>
      <c r="B211" s="25"/>
      <c r="C211" s="25"/>
      <c r="D211" s="25"/>
      <c r="E211" s="26"/>
    </row>
    <row r="212" ht="15.75" customHeight="1">
      <c r="A212" s="23"/>
      <c r="B212" s="23"/>
      <c r="C212" s="23"/>
      <c r="D212" s="23"/>
      <c r="E212" s="24"/>
    </row>
    <row r="213" ht="15.75" customHeight="1">
      <c r="A213" s="25"/>
      <c r="B213" s="25"/>
      <c r="C213" s="25"/>
      <c r="D213" s="25"/>
      <c r="E213" s="26"/>
    </row>
    <row r="214" ht="15.75" customHeight="1">
      <c r="A214" s="23"/>
      <c r="B214" s="23"/>
      <c r="C214" s="23"/>
      <c r="D214" s="23"/>
      <c r="E214" s="24"/>
    </row>
    <row r="215" ht="15.75" customHeight="1">
      <c r="A215" s="25"/>
      <c r="B215" s="25"/>
      <c r="C215" s="25"/>
      <c r="D215" s="25"/>
      <c r="E215" s="26"/>
    </row>
    <row r="216" ht="15.75" customHeight="1">
      <c r="A216" s="23"/>
      <c r="B216" s="23"/>
      <c r="C216" s="23"/>
      <c r="D216" s="23"/>
      <c r="E216" s="24"/>
    </row>
    <row r="217" ht="15.75" customHeight="1">
      <c r="A217" s="25"/>
      <c r="B217" s="25"/>
      <c r="C217" s="25"/>
      <c r="D217" s="25"/>
      <c r="E217" s="26"/>
    </row>
    <row r="218" ht="15.75" customHeight="1">
      <c r="A218" s="23"/>
      <c r="B218" s="23"/>
      <c r="C218" s="23"/>
      <c r="D218" s="23"/>
      <c r="E218" s="24"/>
    </row>
    <row r="219" ht="15.75" customHeight="1">
      <c r="A219" s="25"/>
      <c r="B219" s="25"/>
      <c r="C219" s="25"/>
      <c r="D219" s="25"/>
      <c r="E219" s="26"/>
    </row>
    <row r="220" ht="15.75" customHeight="1">
      <c r="A220" s="23"/>
      <c r="B220" s="23"/>
      <c r="C220" s="23"/>
      <c r="D220" s="23"/>
      <c r="E220" s="2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E5"/>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563EB"/>
    <pageSetUpPr/>
  </sheetPr>
  <sheetViews>
    <sheetView showGridLines="0" workbookViewId="0">
      <pane ySplit="1" topLeftCell="A2" activePane="bottomLeft" state="frozen"/>
      <selection pane="bottomLeft"/>
    </sheetView>
  </sheetViews>
  <sheetFormatPr customHeight="1" defaultColWidth="12.63" defaultRowHeight="15.0"/>
  <cols>
    <col min="1" max="1" width="10" customWidth="1"/>
    <col min="2" max="2" width="22" customWidth="1"/>
    <col min="3" max="3" width="13" customWidth="1"/>
    <col min="4" max="4" width="10" customWidth="1"/>
    <col min="5" max="5" width="10" customWidth="1"/>
    <col min="6" max="6" width="10" customWidth="1"/>
    <col min="7" max="7" width="22" customWidth="1"/>
    <col min="8" max="8" width="16" customWidth="1"/>
    <col min="9" max="9" width="16" customWidth="1"/>
    <col min="10" max="10" width="10" customWidth="1"/>
    <col min="11" max="11" width="12" customWidth="1"/>
    <col min="12" max="12" width="10" customWidth="1"/>
    <col min="13" max="13" width="42" customWidth="1"/>
    <col min="14" max="14" width="11" customWidth="1"/>
    <col min="15" max="15" width="13" customWidth="1"/>
    <col min="16" max="16" width="13" customWidth="1"/>
    <col min="17" max="17" width="42" customWidth="1"/>
    <col min="18" max="18" width="13" customWidth="1"/>
    <col min="19" max="19" width="42" customWidth="1"/>
    <col min="20" max="20" width="21" customWidth="1"/>
    <col min="21" max="21" width="21" customWidth="1"/>
  </cols>
  <sheetData>
    <row r="1" ht="31.5" customHeight="1">
      <c r="A1" s="27" t="s">
        <v>127</v>
      </c>
      <c r="B1" s="3" t="s">
        <v>128</v>
      </c>
      <c r="C1" s="3" t="s">
        <v>129</v>
      </c>
      <c r="D1" s="3" t="s">
        <v>130</v>
      </c>
      <c r="E1" s="3" t="s">
        <v>131</v>
      </c>
      <c r="F1" s="3" t="s">
        <v>132</v>
      </c>
      <c r="G1" s="3" t="s">
        <v>133</v>
      </c>
      <c r="H1" s="27" t="s">
        <v>134</v>
      </c>
      <c r="I1" s="27" t="s">
        <v>135</v>
      </c>
      <c r="J1" s="3" t="s">
        <v>136</v>
      </c>
      <c r="K1" s="3" t="s">
        <v>137</v>
      </c>
      <c r="L1" s="3" t="s">
        <v>138</v>
      </c>
      <c r="M1" s="3" t="s">
        <v>139</v>
      </c>
      <c r="N1" s="3" t="s">
        <v>140</v>
      </c>
      <c r="O1" s="3" t="s">
        <v>141</v>
      </c>
      <c r="P1" s="3" t="s">
        <v>142</v>
      </c>
      <c r="Q1" s="3" t="s">
        <v>143</v>
      </c>
      <c r="R1" s="3" t="s">
        <v>144</v>
      </c>
      <c r="S1" s="3" t="s">
        <v>145</v>
      </c>
      <c r="T1" s="3" t="s">
        <v>146</v>
      </c>
      <c r="U1" s="3" t="s">
        <v>113</v>
      </c>
    </row>
    <row r="2" ht="22.5" customHeight="1">
      <c r="A2" s="28" t="inlineStr">
        <is>
          <t>HS002</t>
        </is>
      </c>
      <c r="B2" s="29" t="inlineStr">
        <is>
          <t>Hoàng Nhã Phương</t>
        </is>
      </c>
      <c r="C2" s="21"/>
      <c r="D2" s="29" t="inlineStr">
        <is>
          <t>Đào Tấn</t>
        </is>
      </c>
      <c r="E2" s="48">
        <v>6</v>
      </c>
      <c r="F2" s="29" t="s">
        <v>150</v>
      </c>
      <c r="G2" s="29" t="inlineStr">
        <is>
          <t>Hoàng Thị Thu Hương</t>
        </is>
      </c>
      <c r="H2" s="31"/>
      <c r="I2" s="32"/>
      <c r="J2" s="19"/>
      <c r="K2" s="29"/>
      <c r="L2" s="19"/>
      <c r="M2" s="29" t="s">
        <v>152</v>
      </c>
      <c r="N2" s="29" t="inlineStr">
        <is>
          <t>active</t>
        </is>
      </c>
      <c r="O2" s="33">
        <v>46200.0</v>
      </c>
      <c r="P2" s="33"/>
      <c r="Q2" s="19"/>
      <c r="R2" s="19"/>
      <c r="S2" s="29" t="s">
        <v>153</v>
      </c>
      <c r="T2" s="33" t="s">
        <v>154</v>
      </c>
      <c r="U2" s="33" t="s">
        <v>155</v>
      </c>
    </row>
    <row r="3" ht="22.5" customHeight="1">
      <c r="A3" s="28" t="inlineStr">
        <is>
          <t>HS003</t>
        </is>
      </c>
      <c r="B3" s="35" t="inlineStr">
        <is>
          <t>Võ Nguyễn Bình An</t>
        </is>
      </c>
      <c r="C3" s="22"/>
      <c r="D3" s="35" t="inlineStr">
        <is>
          <t>Đào Tấn</t>
        </is>
      </c>
      <c r="E3" s="48">
        <v>6</v>
      </c>
      <c r="F3" s="35" t="s">
        <v>158</v>
      </c>
      <c r="G3" s="35" t="inlineStr">
        <is>
          <t>Nguyễn Thị Ngân</t>
        </is>
      </c>
      <c r="H3" s="37"/>
      <c r="I3" s="37"/>
      <c r="J3" s="15"/>
      <c r="K3" s="15"/>
      <c r="L3" s="15"/>
      <c r="M3" s="35" t="s">
        <v>160</v>
      </c>
      <c r="N3" s="35" t="inlineStr">
        <is>
          <t>active</t>
        </is>
      </c>
      <c r="O3" s="38">
        <v>46200.0</v>
      </c>
      <c r="P3" s="22"/>
      <c r="Q3" s="15"/>
      <c r="R3" s="15"/>
      <c r="S3" s="35" t="s">
        <v>160</v>
      </c>
      <c r="T3" s="38" t="s">
        <v>161</v>
      </c>
      <c r="U3" s="38" t="s">
        <v>162</v>
      </c>
    </row>
    <row r="4" ht="22.5" customHeight="1">
      <c r="A4" s="28" t="inlineStr">
        <is>
          <t>HS004</t>
        </is>
      </c>
      <c r="B4" s="29" t="inlineStr">
        <is>
          <t>Đinh Như Cát Tường</t>
        </is>
      </c>
      <c r="C4" s="21"/>
      <c r="D4" s="29" t="inlineStr">
        <is>
          <t>Đào Tấn</t>
        </is>
      </c>
      <c r="E4" s="48">
        <v>6</v>
      </c>
      <c r="F4" s="29" t="s">
        <v>165</v>
      </c>
      <c r="G4" s="29" t="inlineStr">
        <is>
          <t>Chế Thị Mỹ Linh</t>
        </is>
      </c>
      <c r="H4" s="32"/>
      <c r="I4" s="32"/>
      <c r="J4" s="19"/>
      <c r="K4" s="19"/>
      <c r="L4" s="19"/>
      <c r="M4" s="29" t="s">
        <v>167</v>
      </c>
      <c r="N4" s="29" t="inlineStr">
        <is>
          <t>active</t>
        </is>
      </c>
      <c r="O4" s="33">
        <v>46200.0</v>
      </c>
      <c r="P4" s="21"/>
      <c r="Q4" s="19"/>
      <c r="R4" s="19"/>
      <c r="S4" s="29" t="s">
        <v>167</v>
      </c>
      <c r="T4" s="33" t="s">
        <v>168</v>
      </c>
      <c r="U4" s="33" t="s">
        <v>169</v>
      </c>
    </row>
    <row r="5" ht="22.5" customHeight="1">
      <c r="A5" s="28" t="inlineStr">
        <is>
          <t>HS005</t>
        </is>
      </c>
      <c r="B5" s="35" t="inlineStr">
        <is>
          <t>Lê Gia Bảo</t>
        </is>
      </c>
      <c r="C5" s="22"/>
      <c r="D5" s="35" t="inlineStr">
        <is>
          <t>Đào Tấn</t>
        </is>
      </c>
      <c r="E5" s="48">
        <v>6</v>
      </c>
      <c r="F5" s="35" t="s">
        <v>172</v>
      </c>
      <c r="G5" s="35" t="inlineStr">
        <is>
          <t>Hồ Thuỷ</t>
        </is>
      </c>
      <c r="H5" s="37"/>
      <c r="I5" s="37"/>
      <c r="J5" s="15"/>
      <c r="K5" s="15"/>
      <c r="L5" s="15"/>
      <c r="M5" s="35" t="s">
        <v>174</v>
      </c>
      <c r="N5" s="35" t="inlineStr">
        <is>
          <t>active</t>
        </is>
      </c>
      <c r="O5" s="38">
        <v>46200.0</v>
      </c>
      <c r="P5" s="22"/>
      <c r="Q5" s="15"/>
      <c r="R5" s="15"/>
      <c r="S5" s="35" t="s">
        <v>174</v>
      </c>
      <c r="T5" s="36" t="s">
        <v>175</v>
      </c>
      <c r="U5" s="36" t="s">
        <v>176</v>
      </c>
    </row>
    <row r="6" ht="22.5" customHeight="1">
      <c r="A6" s="28" t="inlineStr">
        <is>
          <t>HS006</t>
        </is>
      </c>
      <c r="B6" s="29" t="inlineStr">
        <is>
          <t>Gia Huy</t>
        </is>
      </c>
      <c r="C6" s="21"/>
      <c r="D6" s="29" t="inlineStr">
        <is>
          <t>Đào Tấn</t>
        </is>
      </c>
      <c r="E6" s="48">
        <v>6</v>
      </c>
      <c r="F6" s="29" t="s">
        <v>158</v>
      </c>
      <c r="G6" s="29" t="inlineStr">
        <is>
          <t>Minh Trang</t>
        </is>
      </c>
      <c r="H6" s="32"/>
      <c r="I6" s="32"/>
      <c r="J6" s="19"/>
      <c r="K6" s="19"/>
      <c r="L6" s="19"/>
      <c r="M6" s="29" t="s">
        <v>180</v>
      </c>
      <c r="N6" s="29" t="inlineStr">
        <is>
          <t>active</t>
        </is>
      </c>
      <c r="O6" s="33">
        <v>46200.0</v>
      </c>
      <c r="P6" s="21"/>
      <c r="Q6" s="19"/>
      <c r="R6" s="19"/>
      <c r="S6" s="29" t="s">
        <v>180</v>
      </c>
      <c r="T6" s="33" t="s">
        <v>181</v>
      </c>
      <c r="U6" s="33" t="s">
        <v>182</v>
      </c>
    </row>
    <row r="7" ht="22.5" customHeight="1">
      <c r="A7" s="28" t="inlineStr">
        <is>
          <t>HS007</t>
        </is>
      </c>
      <c r="B7" s="35" t="inlineStr">
        <is>
          <t>Lê Thị Bảo Vy</t>
        </is>
      </c>
      <c r="C7" s="22"/>
      <c r="D7" s="35" t="inlineStr">
        <is>
          <t>Đào Tấn</t>
        </is>
      </c>
      <c r="E7" s="48">
        <v>12</v>
      </c>
      <c r="F7" s="35" t="s">
        <v>185</v>
      </c>
      <c r="G7" s="35" t="inlineStr">
        <is>
          <t>Trần Thị Hường</t>
        </is>
      </c>
      <c r="H7" s="28" t="inlineStr">
        <f>"0935184022"</f>
        <is>
          <t>0935184022</t>
        </is>
      </c>
      <c r="I7" s="37"/>
      <c r="J7" s="15"/>
      <c r="K7" s="15"/>
      <c r="L7" s="35" t="s">
        <v>187</v>
      </c>
      <c r="M7" s="35" t="s">
        <v>188</v>
      </c>
      <c r="N7" s="35" t="inlineStr">
        <is>
          <t>active</t>
        </is>
      </c>
      <c r="O7" s="38">
        <v>46200.0</v>
      </c>
      <c r="P7" s="22"/>
      <c r="Q7" s="15"/>
      <c r="R7" s="15"/>
      <c r="S7" s="35" t="s">
        <v>189</v>
      </c>
      <c r="T7" s="38" t="s">
        <v>190</v>
      </c>
      <c r="U7" s="38" t="s">
        <v>191</v>
      </c>
    </row>
    <row r="8" ht="22.5" customHeight="1">
      <c r="A8" s="28" t="inlineStr">
        <is>
          <t>HS008</t>
        </is>
      </c>
      <c r="B8" s="29" t="inlineStr">
        <is>
          <t>Lê Ngọc Khánh An</t>
        </is>
      </c>
      <c r="C8" s="21"/>
      <c r="D8" s="29" t="inlineStr">
        <is>
          <t>Đào Tấn</t>
        </is>
      </c>
      <c r="E8" s="48">
        <v>12</v>
      </c>
      <c r="F8" s="29" t="s">
        <v>194</v>
      </c>
      <c r="G8" s="29" t="inlineStr">
        <is>
          <t>Hồ Thị Phương Loan</t>
        </is>
      </c>
      <c r="H8" s="28" t="inlineStr">
        <f>"0846744468"</f>
        <is>
          <t>0846744468</t>
        </is>
      </c>
      <c r="I8" s="32"/>
      <c r="J8" s="19"/>
      <c r="K8" s="29" t="s">
        <v>196</v>
      </c>
      <c r="L8" s="29" t="s">
        <v>197</v>
      </c>
      <c r="M8" s="29" t="s">
        <v>198</v>
      </c>
      <c r="N8" s="29" t="inlineStr">
        <is>
          <t>active</t>
        </is>
      </c>
      <c r="O8" s="33">
        <v>46200.0</v>
      </c>
      <c r="P8" s="21"/>
      <c r="Q8" s="19"/>
      <c r="R8" s="19"/>
      <c r="S8" s="29" t="s">
        <v>199</v>
      </c>
      <c r="T8" s="33" t="s">
        <v>200</v>
      </c>
      <c r="U8" s="33" t="s">
        <v>201</v>
      </c>
    </row>
    <row r="9" ht="22.5" customHeight="1">
      <c r="A9" s="28" t="inlineStr">
        <is>
          <t>HS009</t>
        </is>
      </c>
      <c r="B9" s="35" t="inlineStr">
        <is>
          <t>Phạm Trần Nhật Huy</t>
        </is>
      </c>
      <c r="C9" s="22"/>
      <c r="D9" s="35" t="inlineStr">
        <is>
          <t>Đào Tấn</t>
        </is>
      </c>
      <c r="E9" s="48">
        <v>12</v>
      </c>
      <c r="F9" s="35" t="s">
        <v>204</v>
      </c>
      <c r="G9" s="35" t="inlineStr">
        <is>
          <t>Trần Thị Thúy Hồng</t>
        </is>
      </c>
      <c r="H9" s="28" t="inlineStr">
        <f>"0374640509"</f>
        <is>
          <t>0374640509</t>
        </is>
      </c>
      <c r="I9" s="37"/>
      <c r="J9" s="15"/>
      <c r="K9" s="40">
        <v>46149.0</v>
      </c>
      <c r="L9" s="35" t="s">
        <v>187</v>
      </c>
      <c r="M9" s="35" t="s">
        <v>206</v>
      </c>
      <c r="N9" s="35" t="inlineStr">
        <is>
          <t>active</t>
        </is>
      </c>
      <c r="O9" s="38">
        <v>46200.0</v>
      </c>
      <c r="P9" s="22"/>
      <c r="Q9" s="15"/>
      <c r="R9" s="15"/>
      <c r="S9" s="35" t="s">
        <v>207</v>
      </c>
      <c r="T9" s="38" t="s">
        <v>208</v>
      </c>
      <c r="U9" s="38" t="s">
        <v>209</v>
      </c>
    </row>
    <row r="10" ht="22.5" customHeight="1">
      <c r="A10" s="28" t="inlineStr">
        <is>
          <t>HS010</t>
        </is>
      </c>
      <c r="B10" s="29" t="inlineStr">
        <is>
          <t>Trần Lê Anh Thy</t>
        </is>
      </c>
      <c r="C10" s="21"/>
      <c r="D10" s="29" t="inlineStr">
        <is>
          <t>Đào Tấn</t>
        </is>
      </c>
      <c r="E10" s="48">
        <v>12</v>
      </c>
      <c r="F10" s="29" t="s">
        <v>212</v>
      </c>
      <c r="G10" s="29" t="inlineStr">
        <is>
          <t>Lê Thị Lan Oanh</t>
        </is>
      </c>
      <c r="H10" s="28" t="inlineStr">
        <f>"0779592410"</f>
        <is>
          <t>0779592410</t>
        </is>
      </c>
      <c r="I10" s="32"/>
      <c r="J10" s="19"/>
      <c r="K10" s="29">
        <v>6.0</v>
      </c>
      <c r="L10" s="29" t="s">
        <v>197</v>
      </c>
      <c r="M10" s="29" t="s">
        <v>214</v>
      </c>
      <c r="N10" s="29" t="inlineStr">
        <is>
          <t>active</t>
        </is>
      </c>
      <c r="O10" s="33">
        <v>46200.0</v>
      </c>
      <c r="P10" s="21"/>
      <c r="Q10" s="19"/>
      <c r="R10" s="19"/>
      <c r="S10" s="29" t="s">
        <v>215</v>
      </c>
      <c r="T10" s="33" t="s">
        <v>216</v>
      </c>
      <c r="U10" s="33" t="s">
        <v>217</v>
      </c>
    </row>
    <row r="11" ht="22.5" customHeight="1">
      <c r="A11" s="28" t="inlineStr">
        <is>
          <t>HS011</t>
        </is>
      </c>
      <c r="B11" s="35" t="inlineStr">
        <is>
          <t>Trương Hoàng Bảo Ngọc</t>
        </is>
      </c>
      <c r="C11" s="22"/>
      <c r="D11" s="35" t="inlineStr">
        <is>
          <t>Đào Tấn</t>
        </is>
      </c>
      <c r="E11" s="48">
        <v>12</v>
      </c>
      <c r="F11" s="35" t="s">
        <v>220</v>
      </c>
      <c r="G11" s="35" t="inlineStr">
        <is>
          <t>Hoàng Thị Ngọc Tiên</t>
        </is>
      </c>
      <c r="H11" s="28" t="inlineStr">
        <f>"0792252806"</f>
        <is>
          <t>0792252806</t>
        </is>
      </c>
      <c r="I11" s="37"/>
      <c r="J11" s="15"/>
      <c r="K11" s="35">
        <v>7.0</v>
      </c>
      <c r="L11" s="35" t="s">
        <v>197</v>
      </c>
      <c r="M11" s="35" t="s">
        <v>222</v>
      </c>
      <c r="N11" s="35" t="inlineStr">
        <is>
          <t>active</t>
        </is>
      </c>
      <c r="O11" s="38">
        <v>46200.0</v>
      </c>
      <c r="P11" s="22"/>
      <c r="Q11" s="15"/>
      <c r="R11" s="15"/>
      <c r="S11" s="35" t="s">
        <v>223</v>
      </c>
      <c r="T11" s="38" t="s">
        <v>224</v>
      </c>
      <c r="U11" s="38" t="s">
        <v>225</v>
      </c>
    </row>
    <row r="12" ht="22.5" customHeight="1">
      <c r="A12" s="28" t="inlineStr">
        <is>
          <t>HS012</t>
        </is>
      </c>
      <c r="B12" s="29" t="inlineStr">
        <is>
          <t>Bảo Hân</t>
        </is>
      </c>
      <c r="C12" s="21"/>
      <c r="D12" s="29" t="inlineStr">
        <is>
          <t>Đào Tấn</t>
        </is>
      </c>
      <c r="E12" s="48">
        <v>12</v>
      </c>
      <c r="F12" s="29" t="s">
        <v>228</v>
      </c>
      <c r="G12" s="29" t="inlineStr">
        <is>
          <t>Võ Thị Loan</t>
        </is>
      </c>
      <c r="H12" s="28" t="inlineStr">
        <f>"0914624343"</f>
        <is>
          <t>0914624343</t>
        </is>
      </c>
      <c r="I12" s="32"/>
      <c r="J12" s="19"/>
      <c r="K12" s="29">
        <v>8.0</v>
      </c>
      <c r="L12" s="29" t="s">
        <v>187</v>
      </c>
      <c r="M12" s="29" t="s">
        <v>230</v>
      </c>
      <c r="N12" s="29" t="inlineStr">
        <is>
          <t>active</t>
        </is>
      </c>
      <c r="O12" s="33">
        <v>46200.0</v>
      </c>
      <c r="P12" s="21"/>
      <c r="Q12" s="19"/>
      <c r="R12" s="19"/>
      <c r="S12" s="29" t="s">
        <v>231</v>
      </c>
      <c r="T12" s="33" t="s">
        <v>232</v>
      </c>
      <c r="U12" s="33" t="s">
        <v>233</v>
      </c>
    </row>
    <row r="13" ht="22.5" customHeight="1">
      <c r="A13" s="28" t="inlineStr">
        <is>
          <t>HS013</t>
        </is>
      </c>
      <c r="B13" s="35" t="inlineStr">
        <is>
          <t>Lê Xuân Ngọc Sương</t>
        </is>
      </c>
      <c r="C13" s="22"/>
      <c r="D13" s="35" t="inlineStr">
        <is>
          <t>Đào Tấn</t>
        </is>
      </c>
      <c r="E13" s="48">
        <v>12</v>
      </c>
      <c r="F13" s="35" t="s">
        <v>204</v>
      </c>
      <c r="G13" s="35" t="inlineStr">
        <is>
          <t>Lê Thị Nam</t>
        </is>
      </c>
      <c r="H13" s="28" t="inlineStr">
        <f>"0398340977"</f>
        <is>
          <t>0398340977</t>
        </is>
      </c>
      <c r="I13" s="37"/>
      <c r="J13" s="15"/>
      <c r="K13" s="40">
        <v>46267.0</v>
      </c>
      <c r="L13" s="35" t="s">
        <v>197</v>
      </c>
      <c r="M13" s="35" t="s">
        <v>237</v>
      </c>
      <c r="N13" s="35" t="inlineStr">
        <is>
          <t>active</t>
        </is>
      </c>
      <c r="O13" s="38">
        <v>46200.0</v>
      </c>
      <c r="P13" s="22"/>
      <c r="Q13" s="15"/>
      <c r="R13" s="15"/>
      <c r="S13" s="35" t="s">
        <v>238</v>
      </c>
      <c r="T13" s="38" t="s">
        <v>239</v>
      </c>
      <c r="U13" s="38" t="s">
        <v>240</v>
      </c>
    </row>
    <row r="14" ht="22.5" customHeight="1">
      <c r="A14" s="28" t="inlineStr">
        <is>
          <t>HS014</t>
        </is>
      </c>
      <c r="B14" s="29" t="inlineStr">
        <is>
          <t>Trương Đức Hân</t>
        </is>
      </c>
      <c r="C14" s="21"/>
      <c r="D14" s="29" t="inlineStr">
        <is>
          <t>Đào Tấn</t>
        </is>
      </c>
      <c r="E14" s="48">
        <v>12</v>
      </c>
      <c r="F14" s="29" t="s">
        <v>243</v>
      </c>
      <c r="G14" s="29" t="inlineStr">
        <is>
          <t>Hoàng Thị Kim Thuý</t>
        </is>
      </c>
      <c r="H14" s="28" t="inlineStr">
        <f>"0766536916"</f>
        <is>
          <t>0766536916</t>
        </is>
      </c>
      <c r="I14" s="32"/>
      <c r="J14" s="19"/>
      <c r="K14" s="41">
        <v>46087.0</v>
      </c>
      <c r="L14" s="29" t="s">
        <v>245</v>
      </c>
      <c r="M14" s="29" t="s">
        <v>246</v>
      </c>
      <c r="N14" s="29" t="inlineStr">
        <is>
          <t>active</t>
        </is>
      </c>
      <c r="O14" s="33">
        <v>46200.0</v>
      </c>
      <c r="P14" s="21"/>
      <c r="Q14" s="19"/>
      <c r="R14" s="19"/>
      <c r="S14" s="29" t="s">
        <v>247</v>
      </c>
      <c r="T14" s="33" t="s">
        <v>248</v>
      </c>
      <c r="U14" s="33" t="s">
        <v>249</v>
      </c>
    </row>
    <row r="15" ht="22.5" customHeight="1">
      <c r="A15" s="28" t="inlineStr">
        <is>
          <t>HS015</t>
        </is>
      </c>
      <c r="B15" s="35" t="inlineStr">
        <is>
          <t>Đặng Khánh Giang</t>
        </is>
      </c>
      <c r="C15" s="22"/>
      <c r="D15" s="35" t="inlineStr">
        <is>
          <t>Đào Tấn</t>
        </is>
      </c>
      <c r="E15" s="48">
        <v>12</v>
      </c>
      <c r="F15" s="35" t="s">
        <v>252</v>
      </c>
      <c r="G15" s="35" t="inlineStr">
        <is>
          <t>Nguyễn Thị Thanh Tâm</t>
        </is>
      </c>
      <c r="H15" s="28" t="inlineStr">
        <f>"0935660777"</f>
        <is>
          <t>0935660777</t>
        </is>
      </c>
      <c r="I15" s="37"/>
      <c r="J15" s="15"/>
      <c r="K15" s="35" t="s">
        <v>254</v>
      </c>
      <c r="L15" s="35" t="s">
        <v>187</v>
      </c>
      <c r="M15" s="35" t="s">
        <v>255</v>
      </c>
      <c r="N15" s="35" t="inlineStr">
        <is>
          <t>active</t>
        </is>
      </c>
      <c r="O15" s="38">
        <v>46200.0</v>
      </c>
      <c r="P15" s="22"/>
      <c r="Q15" s="15"/>
      <c r="R15" s="15"/>
      <c r="S15" s="35" t="s">
        <v>256</v>
      </c>
      <c r="T15" s="38" t="s">
        <v>257</v>
      </c>
      <c r="U15" s="38" t="s">
        <v>258</v>
      </c>
    </row>
    <row r="16" ht="22.5" customHeight="1">
      <c r="A16" s="28" t="inlineStr">
        <is>
          <t>HS016</t>
        </is>
      </c>
      <c r="B16" s="29" t="inlineStr">
        <is>
          <t>Phan Hoàng Thảo Nguyên</t>
        </is>
      </c>
      <c r="C16" s="21"/>
      <c r="D16" s="29" t="inlineStr">
        <is>
          <t>Đào Tấn</t>
        </is>
      </c>
      <c r="E16" s="48">
        <v>12</v>
      </c>
      <c r="F16" s="29" t="s">
        <v>261</v>
      </c>
      <c r="G16" s="29" t="inlineStr">
        <is>
          <t>Hoàng Thị Bích Nga</t>
        </is>
      </c>
      <c r="H16" s="28" t="inlineStr">
        <f>"0905050678"</f>
        <is>
          <t>0905050678</t>
        </is>
      </c>
      <c r="I16" s="32"/>
      <c r="J16" s="19"/>
      <c r="K16" s="29" t="s">
        <v>263</v>
      </c>
      <c r="L16" s="29" t="s">
        <v>264</v>
      </c>
      <c r="M16" s="29" t="s">
        <v>265</v>
      </c>
      <c r="N16" s="29" t="inlineStr">
        <is>
          <t>active</t>
        </is>
      </c>
      <c r="O16" s="33">
        <v>46200.0</v>
      </c>
      <c r="P16" s="21"/>
      <c r="Q16" s="19"/>
      <c r="R16" s="19"/>
      <c r="S16" s="29" t="s">
        <v>266</v>
      </c>
      <c r="T16" s="33" t="s">
        <v>267</v>
      </c>
      <c r="U16" s="33" t="s">
        <v>268</v>
      </c>
    </row>
    <row r="17" ht="22.5" customHeight="1">
      <c r="A17" s="28" t="inlineStr">
        <is>
          <t>HS017</t>
        </is>
      </c>
      <c r="B17" s="35" t="inlineStr">
        <is>
          <t>Võ Minh Thư</t>
        </is>
      </c>
      <c r="C17" s="22"/>
      <c r="D17" s="35" t="inlineStr">
        <is>
          <t>Đào Tấn</t>
        </is>
      </c>
      <c r="E17" s="48">
        <v>12</v>
      </c>
      <c r="F17" s="35" t="s">
        <v>271</v>
      </c>
      <c r="G17" s="35" t="inlineStr">
        <is>
          <t>Tôn Nữ Bích Chi</t>
        </is>
      </c>
      <c r="H17" s="28" t="inlineStr">
        <f>"0389109029"</f>
        <is>
          <t>0389109029</t>
        </is>
      </c>
      <c r="I17" s="37"/>
      <c r="J17" s="15"/>
      <c r="K17" s="35" t="s">
        <v>273</v>
      </c>
      <c r="L17" s="35" t="s">
        <v>187</v>
      </c>
      <c r="M17" s="35" t="s">
        <v>274</v>
      </c>
      <c r="N17" s="35" t="inlineStr">
        <is>
          <t>active</t>
        </is>
      </c>
      <c r="O17" s="38">
        <v>46200.0</v>
      </c>
      <c r="P17" s="22"/>
      <c r="Q17" s="15"/>
      <c r="R17" s="15"/>
      <c r="S17" s="35" t="s">
        <v>275</v>
      </c>
      <c r="T17" s="38" t="s">
        <v>276</v>
      </c>
      <c r="U17" s="38" t="s">
        <v>277</v>
      </c>
    </row>
    <row r="18" ht="22.5" customHeight="1">
      <c r="A18" s="28" t="inlineStr">
        <is>
          <t>HS018</t>
        </is>
      </c>
      <c r="B18" s="29" t="inlineStr">
        <is>
          <t>Ngô Đức Tuấn Hưng</t>
        </is>
      </c>
      <c r="C18" s="21"/>
      <c r="D18" s="29" t="inlineStr">
        <is>
          <t>Đào Tấn</t>
        </is>
      </c>
      <c r="E18" s="48">
        <v>12</v>
      </c>
      <c r="F18" s="29" t="s">
        <v>280</v>
      </c>
      <c r="G18" s="29" t="inlineStr">
        <is>
          <t>Nguyễn Thị Mỹ Chi</t>
        </is>
      </c>
      <c r="H18" s="28" t="inlineStr">
        <f>"0355685046"</f>
        <is>
          <t>0355685046</t>
        </is>
      </c>
      <c r="I18" s="32"/>
      <c r="J18" s="19"/>
      <c r="K18" s="29" t="s">
        <v>282</v>
      </c>
      <c r="L18" s="29" t="s">
        <v>197</v>
      </c>
      <c r="M18" s="29" t="s">
        <v>188</v>
      </c>
      <c r="N18" s="29" t="inlineStr">
        <is>
          <t>active</t>
        </is>
      </c>
      <c r="O18" s="33">
        <v>46200.0</v>
      </c>
      <c r="P18" s="21"/>
      <c r="Q18" s="19"/>
      <c r="R18" s="19"/>
      <c r="S18" s="29" t="s">
        <v>283</v>
      </c>
      <c r="T18" s="33" t="s">
        <v>284</v>
      </c>
      <c r="U18" s="33" t="s">
        <v>285</v>
      </c>
    </row>
    <row r="19" ht="22.5" customHeight="1">
      <c r="A19" s="28" t="inlineStr">
        <is>
          <t>HS019</t>
        </is>
      </c>
      <c r="B19" s="35" t="inlineStr">
        <is>
          <t>Đoàn Ngọc Hân</t>
        </is>
      </c>
      <c r="C19" s="22"/>
      <c r="D19" s="35" t="inlineStr">
        <is>
          <t>Đào Tấn</t>
        </is>
      </c>
      <c r="E19" s="48">
        <v>12</v>
      </c>
      <c r="F19" s="35" t="s">
        <v>288</v>
      </c>
      <c r="G19" s="35" t="inlineStr">
        <is>
          <t>Phan Thị Đan Thanh</t>
        </is>
      </c>
      <c r="H19" s="28" t="inlineStr">
        <f>"0353167135"</f>
        <is>
          <t>0353167135</t>
        </is>
      </c>
      <c r="I19" s="37"/>
      <c r="J19" s="15"/>
      <c r="K19" s="35" t="s">
        <v>290</v>
      </c>
      <c r="L19" s="35" t="s">
        <v>187</v>
      </c>
      <c r="M19" s="35" t="s">
        <v>291</v>
      </c>
      <c r="N19" s="35" t="inlineStr">
        <is>
          <t>active</t>
        </is>
      </c>
      <c r="O19" s="38">
        <v>46200.0</v>
      </c>
      <c r="P19" s="22"/>
      <c r="Q19" s="15"/>
      <c r="R19" s="15"/>
      <c r="S19" s="35" t="s">
        <v>292</v>
      </c>
      <c r="T19" s="38" t="s">
        <v>293</v>
      </c>
      <c r="U19" s="38" t="s">
        <v>294</v>
      </c>
    </row>
    <row r="20" ht="22.5" customHeight="1">
      <c r="A20" s="28" t="inlineStr">
        <is>
          <t>HS020</t>
        </is>
      </c>
      <c r="B20" s="29" t="inlineStr">
        <is>
          <t>Nguyễn Phúc Nguyên</t>
        </is>
      </c>
      <c r="C20" s="21"/>
      <c r="D20" s="29" t="inlineStr">
        <is>
          <t>Đào Tấn</t>
        </is>
      </c>
      <c r="E20" s="48">
        <v>12</v>
      </c>
      <c r="F20" s="29" t="s">
        <v>297</v>
      </c>
      <c r="G20" s="29" t="inlineStr">
        <is>
          <t>Nguyễn Nam</t>
        </is>
      </c>
      <c r="H20" s="28" t="inlineStr">
        <f>"0982211667"</f>
        <is>
          <t>0982211667</t>
        </is>
      </c>
      <c r="I20" s="32"/>
      <c r="J20" s="19"/>
      <c r="K20" s="29" t="s">
        <v>299</v>
      </c>
      <c r="L20" s="29" t="s">
        <v>245</v>
      </c>
      <c r="M20" s="29" t="s">
        <v>300</v>
      </c>
      <c r="N20" s="29" t="inlineStr">
        <is>
          <t>active</t>
        </is>
      </c>
      <c r="O20" s="33">
        <v>46200.0</v>
      </c>
      <c r="P20" s="21"/>
      <c r="Q20" s="19"/>
      <c r="R20" s="19"/>
      <c r="S20" s="29" t="s">
        <v>301</v>
      </c>
      <c r="T20" s="33" t="s">
        <v>302</v>
      </c>
      <c r="U20" s="33" t="s">
        <v>303</v>
      </c>
    </row>
    <row r="21" ht="22.5" customHeight="1">
      <c r="A21" s="28" t="inlineStr">
        <is>
          <t>HS021</t>
        </is>
      </c>
      <c r="B21" s="35" t="inlineStr">
        <is>
          <t>Đào Duy Khánh Toàn</t>
        </is>
      </c>
      <c r="C21" s="22"/>
      <c r="D21" s="35" t="inlineStr">
        <is>
          <t>Đào Tấn</t>
        </is>
      </c>
      <c r="E21" s="48">
        <v>12</v>
      </c>
      <c r="F21" s="35" t="s">
        <v>306</v>
      </c>
      <c r="G21" s="35" t="inlineStr">
        <is>
          <t>Biện Thị Thanh Phú</t>
        </is>
      </c>
      <c r="H21" s="28" t="inlineStr">
        <f>"0942613893"</f>
        <is>
          <t>0942613893</t>
        </is>
      </c>
      <c r="I21" s="37"/>
      <c r="J21" s="15"/>
      <c r="K21" s="15"/>
      <c r="L21" s="35" t="s">
        <v>245</v>
      </c>
      <c r="M21" s="35" t="s">
        <v>300</v>
      </c>
      <c r="N21" s="35" t="inlineStr">
        <is>
          <t>active</t>
        </is>
      </c>
      <c r="O21" s="38">
        <v>46200.0</v>
      </c>
      <c r="P21" s="22"/>
      <c r="Q21" s="15"/>
      <c r="R21" s="15"/>
      <c r="S21" s="35" t="s">
        <v>308</v>
      </c>
      <c r="T21" s="38" t="s">
        <v>309</v>
      </c>
      <c r="U21" s="38" t="s">
        <v>310</v>
      </c>
    </row>
    <row r="22" ht="22.5" customHeight="1">
      <c r="A22" s="28" t="inlineStr">
        <is>
          <t>HS022</t>
        </is>
      </c>
      <c r="B22" s="29" t="inlineStr">
        <is>
          <t>Trần Hữu Tài</t>
        </is>
      </c>
      <c r="C22" s="21"/>
      <c r="D22" s="29" t="inlineStr">
        <is>
          <t>Đào Tấn</t>
        </is>
      </c>
      <c r="E22" s="48">
        <v>12</v>
      </c>
      <c r="F22" s="29" t="s">
        <v>185</v>
      </c>
      <c r="G22" s="29" t="inlineStr">
        <is>
          <t>Đặng Tường Tâm</t>
        </is>
      </c>
      <c r="H22" s="28" t="inlineStr">
        <f>"0916440057"</f>
        <is>
          <t>0916440057</t>
        </is>
      </c>
      <c r="I22" s="32"/>
      <c r="J22" s="19"/>
      <c r="K22" s="41">
        <v>46149.0</v>
      </c>
      <c r="L22" s="29" t="s">
        <v>197</v>
      </c>
      <c r="M22" s="29" t="s">
        <v>107</v>
      </c>
      <c r="N22" s="29" t="inlineStr">
        <is>
          <t>active</t>
        </is>
      </c>
      <c r="O22" s="33">
        <v>46200.0</v>
      </c>
      <c r="P22" s="21"/>
      <c r="Q22" s="19"/>
      <c r="R22" s="19"/>
      <c r="S22" s="29" t="s">
        <v>314</v>
      </c>
      <c r="T22" s="33" t="s">
        <v>315</v>
      </c>
      <c r="U22" s="33" t="s">
        <v>316</v>
      </c>
    </row>
    <row r="23" ht="22.5" customHeight="1">
      <c r="A23" s="28" t="inlineStr">
        <is>
          <t>HS023</t>
        </is>
      </c>
      <c r="B23" s="35" t="inlineStr">
        <is>
          <t>Tôn Nữ Như Huyền</t>
        </is>
      </c>
      <c r="C23" s="22"/>
      <c r="D23" s="35" t="inlineStr">
        <is>
          <t>Đào Tấn</t>
        </is>
      </c>
      <c r="E23" s="48">
        <v>12</v>
      </c>
      <c r="F23" s="35" t="s">
        <v>319</v>
      </c>
      <c r="G23" s="35" t="inlineStr">
        <is>
          <t>Tôn Thất Lộc</t>
        </is>
      </c>
      <c r="H23" s="28" t="inlineStr">
        <f>"0905484840"</f>
        <is>
          <t>0905484840</t>
        </is>
      </c>
      <c r="I23" s="37"/>
      <c r="J23" s="15"/>
      <c r="K23" s="35">
        <v>5.0</v>
      </c>
      <c r="L23" s="35" t="s">
        <v>264</v>
      </c>
      <c r="M23" s="35" t="s">
        <v>321</v>
      </c>
      <c r="N23" s="35" t="inlineStr">
        <is>
          <t>active</t>
        </is>
      </c>
      <c r="O23" s="38">
        <v>46200.0</v>
      </c>
      <c r="P23" s="22"/>
      <c r="Q23" s="15"/>
      <c r="R23" s="15"/>
      <c r="S23" s="35" t="s">
        <v>322</v>
      </c>
      <c r="T23" s="38" t="s">
        <v>323</v>
      </c>
      <c r="U23" s="38" t="s">
        <v>324</v>
      </c>
    </row>
    <row r="24" ht="22.5" customHeight="1">
      <c r="A24" s="28" t="inlineStr">
        <is>
          <t>HS024</t>
        </is>
      </c>
      <c r="B24" s="29" t="inlineStr">
        <is>
          <t>Võ Đại Quốc Khánh</t>
        </is>
      </c>
      <c r="C24" s="21"/>
      <c r="D24" s="29" t="inlineStr">
        <is>
          <t>Đào Tấn</t>
        </is>
      </c>
      <c r="E24" s="48">
        <v>12</v>
      </c>
      <c r="F24" s="29" t="s">
        <v>327</v>
      </c>
      <c r="G24" s="29" t="inlineStr">
        <is>
          <t>Võ Đại Hùng</t>
        </is>
      </c>
      <c r="H24" s="28" t="inlineStr">
        <f>"0789492731"</f>
        <is>
          <t>0789492731</t>
        </is>
      </c>
      <c r="I24" s="32"/>
      <c r="J24" s="19"/>
      <c r="K24" s="29">
        <v>6.0</v>
      </c>
      <c r="L24" s="29" t="s">
        <v>245</v>
      </c>
      <c r="M24" s="29" t="s">
        <v>246</v>
      </c>
      <c r="N24" s="29" t="inlineStr">
        <is>
          <t>active</t>
        </is>
      </c>
      <c r="O24" s="33">
        <v>46200.0</v>
      </c>
      <c r="P24" s="21"/>
      <c r="Q24" s="19"/>
      <c r="R24" s="19"/>
      <c r="S24" s="29" t="s">
        <v>329</v>
      </c>
      <c r="T24" s="33" t="s">
        <v>330</v>
      </c>
      <c r="U24" s="33" t="s">
        <v>331</v>
      </c>
    </row>
    <row r="25" ht="22.5" customHeight="1">
      <c r="A25" s="28" t="inlineStr">
        <is>
          <t>HS025</t>
        </is>
      </c>
      <c r="B25" s="35" t="inlineStr">
        <is>
          <t>Trần Ngọc Khánh Thi</t>
        </is>
      </c>
      <c r="C25" s="22"/>
      <c r="D25" s="35" t="inlineStr">
        <is>
          <t>Đào Tấn</t>
        </is>
      </c>
      <c r="E25" s="48">
        <v>12</v>
      </c>
      <c r="F25" s="35" t="s">
        <v>334</v>
      </c>
      <c r="G25" s="35" t="inlineStr">
        <is>
          <t>Trần Quang Nhật</t>
        </is>
      </c>
      <c r="H25" s="28" t="inlineStr">
        <f>"0824556688"</f>
        <is>
          <t>0824556688</t>
        </is>
      </c>
      <c r="I25" s="37"/>
      <c r="J25" s="15"/>
      <c r="K25" s="35" t="s">
        <v>336</v>
      </c>
      <c r="L25" s="35" t="s">
        <v>187</v>
      </c>
      <c r="M25" s="35" t="s">
        <v>188</v>
      </c>
      <c r="N25" s="35" t="inlineStr">
        <is>
          <t>active</t>
        </is>
      </c>
      <c r="O25" s="38">
        <v>46200.0</v>
      </c>
      <c r="P25" s="22"/>
      <c r="Q25" s="15"/>
      <c r="R25" s="15"/>
      <c r="S25" s="35" t="s">
        <v>337</v>
      </c>
      <c r="T25" s="38" t="s">
        <v>338</v>
      </c>
      <c r="U25" s="38" t="s">
        <v>339</v>
      </c>
    </row>
    <row r="26" ht="22.5" customHeight="1">
      <c r="A26" s="28" t="inlineStr">
        <is>
          <t>HS026</t>
        </is>
      </c>
      <c r="B26" s="29" t="inlineStr">
        <is>
          <t>Nhã Uyên</t>
        </is>
      </c>
      <c r="C26" s="21"/>
      <c r="D26" s="29" t="inlineStr">
        <is>
          <t>Đào Tấn</t>
        </is>
      </c>
      <c r="E26" s="48">
        <v>10</v>
      </c>
      <c r="F26" s="29" t="s">
        <v>342</v>
      </c>
      <c r="G26" s="29" t="inlineStr">
        <is>
          <t>Ba Của Em</t>
        </is>
      </c>
      <c r="H26" s="28" t="inlineStr">
        <f>"0973551669"</f>
        <is>
          <t>0973551669</t>
        </is>
      </c>
      <c r="I26" s="32"/>
      <c r="J26" s="19"/>
      <c r="K26" s="19"/>
      <c r="L26" s="19"/>
      <c r="M26" s="29" t="s">
        <v>344</v>
      </c>
      <c r="N26" s="29" t="inlineStr">
        <is>
          <t>active</t>
        </is>
      </c>
      <c r="O26" s="33">
        <v>46200.0</v>
      </c>
      <c r="P26" s="21"/>
      <c r="Q26" s="19"/>
      <c r="R26" s="19"/>
      <c r="S26" s="29" t="s">
        <v>345</v>
      </c>
      <c r="T26" s="33" t="s">
        <v>346</v>
      </c>
      <c r="U26" s="33" t="s">
        <v>347</v>
      </c>
    </row>
    <row r="27" ht="22.5" customHeight="1">
      <c r="A27" s="28" t="inlineStr">
        <is>
          <t>HS027</t>
        </is>
      </c>
      <c r="B27" s="35" t="inlineStr">
        <is>
          <t>Uyên Phương</t>
        </is>
      </c>
      <c r="C27" s="22"/>
      <c r="D27" s="35" t="inlineStr">
        <is>
          <t>Đào Tấn</t>
        </is>
      </c>
      <c r="E27" s="48">
        <v>10</v>
      </c>
      <c r="F27" s="35" t="s">
        <v>288</v>
      </c>
      <c r="G27" s="35" t="inlineStr">
        <is>
          <t>Chưa Rõ</t>
        </is>
      </c>
      <c r="H27" s="28" t="inlineStr">
        <f>"0905735059"</f>
        <is>
          <t>0905735059</t>
        </is>
      </c>
      <c r="I27" s="37"/>
      <c r="J27" s="15"/>
      <c r="K27" s="15"/>
      <c r="L27" s="15"/>
      <c r="M27" s="35" t="s">
        <v>351</v>
      </c>
      <c r="N27" s="35" t="inlineStr">
        <is>
          <t>active</t>
        </is>
      </c>
      <c r="O27" s="38">
        <v>46200.0</v>
      </c>
      <c r="P27" s="22"/>
      <c r="Q27" s="15"/>
      <c r="R27" s="15"/>
      <c r="S27" s="35" t="s">
        <v>352</v>
      </c>
      <c r="T27" s="38" t="s">
        <v>353</v>
      </c>
      <c r="U27" s="38" t="s">
        <v>354</v>
      </c>
    </row>
    <row r="28" ht="22.5" customHeight="1">
      <c r="A28" s="28" t="inlineStr">
        <is>
          <t>HS028</t>
        </is>
      </c>
      <c r="B28" s="29" t="inlineStr">
        <is>
          <t>Nguyễn Thị Ngọc Hân</t>
        </is>
      </c>
      <c r="C28" s="21"/>
      <c r="D28" s="29" t="inlineStr">
        <is>
          <t>Đào Tấn</t>
        </is>
      </c>
      <c r="E28" s="48">
        <v>10</v>
      </c>
      <c r="F28" s="29" t="s">
        <v>357</v>
      </c>
      <c r="G28" s="29" t="inlineStr">
        <is>
          <t>Nguyễn Thị Thân/Thẫn</t>
        </is>
      </c>
      <c r="H28" s="28" t="inlineStr">
        <f>"0935516331"</f>
        <is>
          <t>0935516331</t>
        </is>
      </c>
      <c r="I28" s="32"/>
      <c r="J28" s="19"/>
      <c r="K28" s="19"/>
      <c r="L28" s="19"/>
      <c r="M28" s="29" t="s">
        <v>359</v>
      </c>
      <c r="N28" s="29" t="inlineStr">
        <is>
          <t>active</t>
        </is>
      </c>
      <c r="O28" s="33">
        <v>46200.0</v>
      </c>
      <c r="P28" s="21"/>
      <c r="Q28" s="19"/>
      <c r="R28" s="19"/>
      <c r="S28" s="29" t="s">
        <v>360</v>
      </c>
      <c r="T28" s="33" t="s">
        <v>361</v>
      </c>
      <c r="U28" s="33" t="s">
        <v>362</v>
      </c>
    </row>
    <row r="29" ht="22.5" customHeight="1">
      <c r="A29" s="28" t="inlineStr">
        <is>
          <t>HS029</t>
        </is>
      </c>
      <c r="B29" s="35" t="inlineStr">
        <is>
          <t>Võ Lê Thanh Phương</t>
        </is>
      </c>
      <c r="C29" s="22"/>
      <c r="D29" s="35" t="inlineStr">
        <is>
          <t>Đào Tấn</t>
        </is>
      </c>
      <c r="E29" s="48">
        <v>10</v>
      </c>
      <c r="F29" s="35" t="s">
        <v>365</v>
      </c>
      <c r="G29" s="35" t="inlineStr">
        <is>
          <t>Chưa Rõ</t>
        </is>
      </c>
      <c r="H29" s="28" t="inlineStr">
        <f>"0365588759"</f>
        <is>
          <t>0365588759</t>
        </is>
      </c>
      <c r="I29" s="37"/>
      <c r="J29" s="15"/>
      <c r="K29" s="15"/>
      <c r="L29" s="15"/>
      <c r="M29" s="35" t="s">
        <v>366</v>
      </c>
      <c r="N29" s="35" t="inlineStr">
        <is>
          <t>active</t>
        </is>
      </c>
      <c r="O29" s="38">
        <v>46200.0</v>
      </c>
      <c r="P29" s="22"/>
      <c r="Q29" s="15"/>
      <c r="R29" s="15"/>
      <c r="S29" s="35" t="s">
        <v>367</v>
      </c>
      <c r="T29" s="38" t="s">
        <v>368</v>
      </c>
      <c r="U29" s="38" t="s">
        <v>369</v>
      </c>
    </row>
    <row r="30" ht="22.5" customHeight="1">
      <c r="A30" s="28" t="inlineStr">
        <is>
          <t>HS030</t>
        </is>
      </c>
      <c r="B30" s="29" t="inlineStr">
        <is>
          <t>Hương Giang</t>
        </is>
      </c>
      <c r="C30" s="21"/>
      <c r="D30" s="29" t="inlineStr">
        <is>
          <t>Đào Tấn</t>
        </is>
      </c>
      <c r="E30" s="48">
        <v>10</v>
      </c>
      <c r="F30" s="29" t="s">
        <v>372</v>
      </c>
      <c r="G30" s="29" t="inlineStr">
        <is>
          <t>Hồng Hương</t>
        </is>
      </c>
      <c r="H30" s="32"/>
      <c r="I30" s="32"/>
      <c r="J30" s="19"/>
      <c r="K30" s="19"/>
      <c r="L30" s="19"/>
      <c r="M30" s="29" t="s">
        <v>374</v>
      </c>
      <c r="N30" s="29" t="inlineStr">
        <is>
          <t>active</t>
        </is>
      </c>
      <c r="O30" s="33">
        <v>46200.0</v>
      </c>
      <c r="P30" s="21"/>
      <c r="Q30" s="19"/>
      <c r="R30" s="19"/>
      <c r="S30" s="29" t="s">
        <v>375</v>
      </c>
      <c r="T30" s="33" t="s">
        <v>376</v>
      </c>
      <c r="U30" s="33" t="s">
        <v>377</v>
      </c>
    </row>
    <row r="31" ht="22.5" customHeight="1">
      <c r="A31" s="28" t="inlineStr">
        <is>
          <t>HS031</t>
        </is>
      </c>
      <c r="B31" s="35" t="inlineStr">
        <is>
          <t>Ngô Trần Huyền Trang</t>
        </is>
      </c>
      <c r="C31" s="22"/>
      <c r="D31" s="35" t="inlineStr">
        <is>
          <t>Đào Tấn</t>
        </is>
      </c>
      <c r="E31" s="48">
        <v>10</v>
      </c>
      <c r="F31" s="35" t="s">
        <v>365</v>
      </c>
      <c r="G31" s="35" t="inlineStr">
        <is>
          <t>Nga Trần</t>
        </is>
      </c>
      <c r="H31" s="28" t="inlineStr">
        <f>"0962837800"</f>
        <is>
          <t>0962837800</t>
        </is>
      </c>
      <c r="I31" s="37"/>
      <c r="J31" s="15"/>
      <c r="K31" s="15"/>
      <c r="L31" s="15"/>
      <c r="M31" s="35" t="s">
        <v>381</v>
      </c>
      <c r="N31" s="35" t="inlineStr">
        <is>
          <t>active</t>
        </is>
      </c>
      <c r="O31" s="38">
        <v>46200.0</v>
      </c>
      <c r="P31" s="22"/>
      <c r="Q31" s="15"/>
      <c r="R31" s="15"/>
      <c r="S31" s="35" t="s">
        <v>382</v>
      </c>
      <c r="T31" s="38" t="s">
        <v>383</v>
      </c>
      <c r="U31" s="38" t="s">
        <v>384</v>
      </c>
    </row>
    <row r="32" ht="22.5" customHeight="1">
      <c r="A32" s="28" t="inlineStr">
        <is>
          <t>HS032</t>
        </is>
      </c>
      <c r="B32" s="29" t="inlineStr">
        <is>
          <t>Lê Bá Bảo Hân</t>
        </is>
      </c>
      <c r="C32" s="21"/>
      <c r="D32" s="29" t="inlineStr">
        <is>
          <t>Đào Tấn</t>
        </is>
      </c>
      <c r="E32" s="48">
        <v>10</v>
      </c>
      <c r="F32" s="29" t="s">
        <v>372</v>
      </c>
      <c r="G32" s="29" t="inlineStr">
        <is>
          <t>Chưa Rõ</t>
        </is>
      </c>
      <c r="H32" s="28" t="inlineStr">
        <f>"0905476263"</f>
        <is>
          <t>0905476263</t>
        </is>
      </c>
      <c r="I32" s="32"/>
      <c r="J32" s="19"/>
      <c r="K32" s="19"/>
      <c r="L32" s="19"/>
      <c r="M32" s="29" t="s">
        <v>387</v>
      </c>
      <c r="N32" s="29" t="inlineStr">
        <is>
          <t>active</t>
        </is>
      </c>
      <c r="O32" s="33">
        <v>46200.0</v>
      </c>
      <c r="P32" s="21"/>
      <c r="Q32" s="19"/>
      <c r="R32" s="19"/>
      <c r="S32" s="29" t="s">
        <v>388</v>
      </c>
      <c r="T32" s="33" t="s">
        <v>389</v>
      </c>
      <c r="U32" s="33" t="s">
        <v>390</v>
      </c>
    </row>
    <row r="33" ht="15.75" customHeight="1">
      <c r="A33" s="42"/>
      <c r="B33" s="25"/>
      <c r="C33" s="26"/>
      <c r="D33" s="25"/>
      <c r="E33" s="25"/>
      <c r="F33" s="25"/>
      <c r="G33" s="25"/>
      <c r="H33" s="42"/>
      <c r="I33" s="42"/>
      <c r="J33" s="25"/>
      <c r="K33" s="25"/>
      <c r="L33" s="25"/>
      <c r="M33" s="25"/>
      <c r="N33" s="25"/>
      <c r="O33" s="26"/>
      <c r="P33" s="26"/>
      <c r="Q33" s="25"/>
      <c r="R33" s="25"/>
      <c r="S33" s="25"/>
      <c r="T33" s="43"/>
      <c r="U33" s="43"/>
    </row>
    <row r="34" ht="15.75" customHeight="1">
      <c r="A34" s="44"/>
      <c r="B34" s="23"/>
      <c r="C34" s="24"/>
      <c r="D34" s="23"/>
      <c r="E34" s="23"/>
      <c r="F34" s="23"/>
      <c r="G34" s="23"/>
      <c r="H34" s="44"/>
      <c r="I34" s="44"/>
      <c r="J34" s="23"/>
      <c r="K34" s="23"/>
      <c r="L34" s="23"/>
      <c r="M34" s="23"/>
      <c r="N34" s="23"/>
      <c r="O34" s="24"/>
      <c r="P34" s="24"/>
      <c r="Q34" s="23"/>
      <c r="R34" s="23"/>
      <c r="S34" s="23"/>
      <c r="T34" s="45"/>
      <c r="U34" s="45"/>
    </row>
    <row r="35" ht="15.75" customHeight="1">
      <c r="A35" s="42"/>
      <c r="B35" s="25"/>
      <c r="C35" s="26"/>
      <c r="D35" s="25"/>
      <c r="E35" s="25"/>
      <c r="F35" s="25"/>
      <c r="G35" s="25"/>
      <c r="H35" s="42"/>
      <c r="I35" s="42"/>
      <c r="J35" s="25"/>
      <c r="K35" s="25"/>
      <c r="L35" s="25"/>
      <c r="M35" s="25"/>
      <c r="N35" s="25"/>
      <c r="O35" s="26"/>
      <c r="P35" s="26"/>
      <c r="Q35" s="25"/>
      <c r="R35" s="25"/>
      <c r="S35" s="25"/>
      <c r="T35" s="43"/>
      <c r="U35" s="43"/>
    </row>
    <row r="36" ht="15.75" customHeight="1">
      <c r="A36" s="44"/>
      <c r="B36" s="23"/>
      <c r="C36" s="24"/>
      <c r="D36" s="23"/>
      <c r="E36" s="23"/>
      <c r="F36" s="23"/>
      <c r="G36" s="23"/>
      <c r="H36" s="44"/>
      <c r="I36" s="44"/>
      <c r="J36" s="23"/>
      <c r="K36" s="23"/>
      <c r="L36" s="23"/>
      <c r="M36" s="23"/>
      <c r="N36" s="23"/>
      <c r="O36" s="24"/>
      <c r="P36" s="24"/>
      <c r="Q36" s="23"/>
      <c r="R36" s="23"/>
      <c r="S36" s="23"/>
      <c r="T36" s="45"/>
      <c r="U36" s="45"/>
    </row>
    <row r="37" ht="15.75" customHeight="1">
      <c r="A37" s="42"/>
      <c r="B37" s="25"/>
      <c r="C37" s="26"/>
      <c r="D37" s="25"/>
      <c r="E37" s="25"/>
      <c r="F37" s="25"/>
      <c r="G37" s="25"/>
      <c r="H37" s="42"/>
      <c r="I37" s="42"/>
      <c r="J37" s="25"/>
      <c r="K37" s="25"/>
      <c r="L37" s="25"/>
      <c r="M37" s="25"/>
      <c r="N37" s="25"/>
      <c r="O37" s="26"/>
      <c r="P37" s="26"/>
      <c r="Q37" s="25"/>
      <c r="R37" s="25"/>
      <c r="S37" s="25"/>
      <c r="T37" s="43"/>
      <c r="U37" s="43"/>
    </row>
    <row r="38" ht="15.75" customHeight="1">
      <c r="A38" s="44"/>
      <c r="B38" s="23"/>
      <c r="C38" s="24"/>
      <c r="D38" s="23"/>
      <c r="E38" s="23"/>
      <c r="F38" s="23"/>
      <c r="G38" s="23"/>
      <c r="H38" s="44"/>
      <c r="I38" s="44"/>
      <c r="J38" s="23"/>
      <c r="K38" s="23"/>
      <c r="L38" s="23"/>
      <c r="M38" s="23"/>
      <c r="N38" s="23"/>
      <c r="O38" s="24"/>
      <c r="P38" s="24"/>
      <c r="Q38" s="23"/>
      <c r="R38" s="23"/>
      <c r="S38" s="23"/>
      <c r="T38" s="45"/>
      <c r="U38" s="45"/>
    </row>
    <row r="39" ht="15.75" customHeight="1">
      <c r="A39" s="42"/>
      <c r="B39" s="25"/>
      <c r="C39" s="26"/>
      <c r="D39" s="25"/>
      <c r="E39" s="25"/>
      <c r="F39" s="25"/>
      <c r="G39" s="25"/>
      <c r="H39" s="42"/>
      <c r="I39" s="42"/>
      <c r="J39" s="25"/>
      <c r="K39" s="25"/>
      <c r="L39" s="25"/>
      <c r="M39" s="25"/>
      <c r="N39" s="25"/>
      <c r="O39" s="26"/>
      <c r="P39" s="26"/>
      <c r="Q39" s="25"/>
      <c r="R39" s="25"/>
      <c r="S39" s="25"/>
      <c r="T39" s="43"/>
      <c r="U39" s="43"/>
    </row>
    <row r="40" ht="15.75" customHeight="1">
      <c r="A40" s="44"/>
      <c r="B40" s="23"/>
      <c r="C40" s="24"/>
      <c r="D40" s="23"/>
      <c r="E40" s="23"/>
      <c r="F40" s="23"/>
      <c r="G40" s="23"/>
      <c r="H40" s="44"/>
      <c r="I40" s="44"/>
      <c r="J40" s="23"/>
      <c r="K40" s="23"/>
      <c r="L40" s="23"/>
      <c r="M40" s="23"/>
      <c r="N40" s="23"/>
      <c r="O40" s="24"/>
      <c r="P40" s="24"/>
      <c r="Q40" s="23"/>
      <c r="R40" s="23"/>
      <c r="S40" s="23"/>
      <c r="T40" s="45"/>
      <c r="U40" s="45"/>
    </row>
    <row r="41" ht="15.75" customHeight="1">
      <c r="A41" s="42"/>
      <c r="B41" s="25"/>
      <c r="C41" s="26"/>
      <c r="D41" s="25"/>
      <c r="E41" s="25"/>
      <c r="F41" s="25"/>
      <c r="G41" s="25"/>
      <c r="H41" s="42"/>
      <c r="I41" s="42"/>
      <c r="J41" s="25"/>
      <c r="K41" s="25"/>
      <c r="L41" s="25"/>
      <c r="M41" s="25"/>
      <c r="N41" s="25"/>
      <c r="O41" s="26"/>
      <c r="P41" s="26"/>
      <c r="Q41" s="25"/>
      <c r="R41" s="25"/>
      <c r="S41" s="25"/>
      <c r="T41" s="43"/>
      <c r="U41" s="43"/>
    </row>
    <row r="42" ht="15.75" customHeight="1">
      <c r="A42" s="44"/>
      <c r="B42" s="23"/>
      <c r="C42" s="24"/>
      <c r="D42" s="23"/>
      <c r="E42" s="23"/>
      <c r="F42" s="23"/>
      <c r="G42" s="23"/>
      <c r="H42" s="44"/>
      <c r="I42" s="44"/>
      <c r="J42" s="23"/>
      <c r="K42" s="23"/>
      <c r="L42" s="23"/>
      <c r="M42" s="23"/>
      <c r="N42" s="23"/>
      <c r="O42" s="24"/>
      <c r="P42" s="24"/>
      <c r="Q42" s="23"/>
      <c r="R42" s="23"/>
      <c r="S42" s="23"/>
      <c r="T42" s="45"/>
      <c r="U42" s="45"/>
    </row>
    <row r="43" ht="15.75" customHeight="1">
      <c r="A43" s="42"/>
      <c r="B43" s="25"/>
      <c r="C43" s="26"/>
      <c r="D43" s="25"/>
      <c r="E43" s="25"/>
      <c r="F43" s="25"/>
      <c r="G43" s="25"/>
      <c r="H43" s="42"/>
      <c r="I43" s="42"/>
      <c r="J43" s="25"/>
      <c r="K43" s="25"/>
      <c r="L43" s="25"/>
      <c r="M43" s="25"/>
      <c r="N43" s="25"/>
      <c r="O43" s="26"/>
      <c r="P43" s="26"/>
      <c r="Q43" s="25"/>
      <c r="R43" s="25"/>
      <c r="S43" s="25"/>
      <c r="T43" s="43"/>
      <c r="U43" s="43"/>
    </row>
    <row r="44" ht="15.75" customHeight="1">
      <c r="A44" s="44"/>
      <c r="B44" s="23"/>
      <c r="C44" s="24"/>
      <c r="D44" s="23"/>
      <c r="E44" s="23"/>
      <c r="F44" s="23"/>
      <c r="G44" s="23"/>
      <c r="H44" s="44"/>
      <c r="I44" s="44"/>
      <c r="J44" s="23"/>
      <c r="K44" s="23"/>
      <c r="L44" s="23"/>
      <c r="M44" s="23"/>
      <c r="N44" s="23"/>
      <c r="O44" s="24"/>
      <c r="P44" s="24"/>
      <c r="Q44" s="23"/>
      <c r="R44" s="23"/>
      <c r="S44" s="23"/>
      <c r="T44" s="45"/>
      <c r="U44" s="45"/>
    </row>
    <row r="45" ht="15.75" customHeight="1">
      <c r="A45" s="42"/>
      <c r="B45" s="25"/>
      <c r="C45" s="26"/>
      <c r="D45" s="25"/>
      <c r="E45" s="25"/>
      <c r="F45" s="25"/>
      <c r="G45" s="25"/>
      <c r="H45" s="42"/>
      <c r="I45" s="42"/>
      <c r="J45" s="25"/>
      <c r="K45" s="25"/>
      <c r="L45" s="25"/>
      <c r="M45" s="25"/>
      <c r="N45" s="25"/>
      <c r="O45" s="26"/>
      <c r="P45" s="26"/>
      <c r="Q45" s="25"/>
      <c r="R45" s="25"/>
      <c r="S45" s="25"/>
      <c r="T45" s="43"/>
      <c r="U45" s="43"/>
    </row>
    <row r="46" ht="15.75" customHeight="1">
      <c r="A46" s="44"/>
      <c r="B46" s="23"/>
      <c r="C46" s="24"/>
      <c r="D46" s="23"/>
      <c r="E46" s="23"/>
      <c r="F46" s="23"/>
      <c r="G46" s="23"/>
      <c r="H46" s="44"/>
      <c r="I46" s="44"/>
      <c r="J46" s="23"/>
      <c r="K46" s="23"/>
      <c r="L46" s="23"/>
      <c r="M46" s="23"/>
      <c r="N46" s="23"/>
      <c r="O46" s="24"/>
      <c r="P46" s="24"/>
      <c r="Q46" s="23"/>
      <c r="R46" s="23"/>
      <c r="S46" s="23"/>
      <c r="T46" s="45"/>
      <c r="U46" s="45"/>
    </row>
    <row r="47" ht="15.75" customHeight="1">
      <c r="A47" s="42"/>
      <c r="B47" s="25"/>
      <c r="C47" s="26"/>
      <c r="D47" s="25"/>
      <c r="E47" s="25"/>
      <c r="F47" s="25"/>
      <c r="G47" s="25"/>
      <c r="H47" s="42"/>
      <c r="I47" s="42"/>
      <c r="J47" s="25"/>
      <c r="K47" s="25"/>
      <c r="L47" s="25"/>
      <c r="M47" s="25"/>
      <c r="N47" s="25"/>
      <c r="O47" s="26"/>
      <c r="P47" s="26"/>
      <c r="Q47" s="25"/>
      <c r="R47" s="25"/>
      <c r="S47" s="25"/>
      <c r="T47" s="43"/>
      <c r="U47" s="43"/>
    </row>
    <row r="48" ht="15.75" customHeight="1">
      <c r="A48" s="44"/>
      <c r="B48" s="23"/>
      <c r="C48" s="24"/>
      <c r="D48" s="23"/>
      <c r="E48" s="23"/>
      <c r="F48" s="23"/>
      <c r="G48" s="23"/>
      <c r="H48" s="44"/>
      <c r="I48" s="44"/>
      <c r="J48" s="23"/>
      <c r="K48" s="23"/>
      <c r="L48" s="23"/>
      <c r="M48" s="23"/>
      <c r="N48" s="23"/>
      <c r="O48" s="24"/>
      <c r="P48" s="24"/>
      <c r="Q48" s="23"/>
      <c r="R48" s="23"/>
      <c r="S48" s="23"/>
      <c r="T48" s="45"/>
      <c r="U48" s="45"/>
    </row>
    <row r="49" ht="15.75" customHeight="1">
      <c r="A49" s="42"/>
      <c r="B49" s="25"/>
      <c r="C49" s="26"/>
      <c r="D49" s="25"/>
      <c r="E49" s="25"/>
      <c r="F49" s="25"/>
      <c r="G49" s="25"/>
      <c r="H49" s="42"/>
      <c r="I49" s="42"/>
      <c r="J49" s="25"/>
      <c r="K49" s="25"/>
      <c r="L49" s="25"/>
      <c r="M49" s="25"/>
      <c r="N49" s="25"/>
      <c r="O49" s="26"/>
      <c r="P49" s="26"/>
      <c r="Q49" s="25"/>
      <c r="R49" s="25"/>
      <c r="S49" s="25"/>
      <c r="T49" s="43"/>
      <c r="U49" s="43"/>
    </row>
    <row r="50" ht="15.75" customHeight="1">
      <c r="A50" s="44"/>
      <c r="B50" s="23"/>
      <c r="C50" s="24"/>
      <c r="D50" s="23"/>
      <c r="E50" s="23"/>
      <c r="F50" s="23"/>
      <c r="G50" s="23"/>
      <c r="H50" s="44"/>
      <c r="I50" s="44"/>
      <c r="J50" s="23"/>
      <c r="K50" s="23"/>
      <c r="L50" s="23"/>
      <c r="M50" s="23"/>
      <c r="N50" s="23"/>
      <c r="O50" s="24"/>
      <c r="P50" s="24"/>
      <c r="Q50" s="23"/>
      <c r="R50" s="23"/>
      <c r="S50" s="23"/>
      <c r="T50" s="45"/>
      <c r="U50" s="45"/>
    </row>
    <row r="51" ht="15.75" customHeight="1">
      <c r="A51" s="42"/>
      <c r="B51" s="25"/>
      <c r="C51" s="26"/>
      <c r="D51" s="25"/>
      <c r="E51" s="25"/>
      <c r="F51" s="25"/>
      <c r="G51" s="25"/>
      <c r="H51" s="42"/>
      <c r="I51" s="42"/>
      <c r="J51" s="25"/>
      <c r="K51" s="25"/>
      <c r="L51" s="25"/>
      <c r="M51" s="25"/>
      <c r="N51" s="25"/>
      <c r="O51" s="26"/>
      <c r="P51" s="26"/>
      <c r="Q51" s="25"/>
      <c r="R51" s="25"/>
      <c r="S51" s="25"/>
      <c r="T51" s="43"/>
      <c r="U51" s="43"/>
    </row>
    <row r="52" ht="15.75" customHeight="1">
      <c r="A52" s="44"/>
      <c r="B52" s="23"/>
      <c r="C52" s="24"/>
      <c r="D52" s="23"/>
      <c r="E52" s="23"/>
      <c r="F52" s="23"/>
      <c r="G52" s="23"/>
      <c r="H52" s="44"/>
      <c r="I52" s="44"/>
      <c r="J52" s="23"/>
      <c r="K52" s="23"/>
      <c r="L52" s="23"/>
      <c r="M52" s="23"/>
      <c r="N52" s="23"/>
      <c r="O52" s="24"/>
      <c r="P52" s="24"/>
      <c r="Q52" s="23"/>
      <c r="R52" s="23"/>
      <c r="S52" s="23"/>
      <c r="T52" s="45"/>
      <c r="U52" s="45"/>
    </row>
    <row r="53" ht="15.75" customHeight="1">
      <c r="A53" s="42"/>
      <c r="B53" s="25"/>
      <c r="C53" s="26"/>
      <c r="D53" s="25"/>
      <c r="E53" s="25"/>
      <c r="F53" s="25"/>
      <c r="G53" s="25"/>
      <c r="H53" s="42"/>
      <c r="I53" s="42"/>
      <c r="J53" s="25"/>
      <c r="K53" s="25"/>
      <c r="L53" s="25"/>
      <c r="M53" s="25"/>
      <c r="N53" s="25"/>
      <c r="O53" s="26"/>
      <c r="P53" s="26"/>
      <c r="Q53" s="25"/>
      <c r="R53" s="25"/>
      <c r="S53" s="25"/>
      <c r="T53" s="43"/>
      <c r="U53" s="43"/>
    </row>
    <row r="54" ht="15.75" customHeight="1">
      <c r="A54" s="44"/>
      <c r="B54" s="23"/>
      <c r="C54" s="24"/>
      <c r="D54" s="23"/>
      <c r="E54" s="23"/>
      <c r="F54" s="23"/>
      <c r="G54" s="23"/>
      <c r="H54" s="44"/>
      <c r="I54" s="44"/>
      <c r="J54" s="23"/>
      <c r="K54" s="23"/>
      <c r="L54" s="23"/>
      <c r="M54" s="23"/>
      <c r="N54" s="23"/>
      <c r="O54" s="24"/>
      <c r="P54" s="24"/>
      <c r="Q54" s="23"/>
      <c r="R54" s="23"/>
      <c r="S54" s="23"/>
      <c r="T54" s="45"/>
      <c r="U54" s="45"/>
    </row>
    <row r="55" ht="15.75" customHeight="1">
      <c r="A55" s="42"/>
      <c r="B55" s="25"/>
      <c r="C55" s="26"/>
      <c r="D55" s="25"/>
      <c r="E55" s="25"/>
      <c r="F55" s="25"/>
      <c r="G55" s="25"/>
      <c r="H55" s="42"/>
      <c r="I55" s="42"/>
      <c r="J55" s="25"/>
      <c r="K55" s="25"/>
      <c r="L55" s="25"/>
      <c r="M55" s="25"/>
      <c r="N55" s="25"/>
      <c r="O55" s="26"/>
      <c r="P55" s="26"/>
      <c r="Q55" s="25"/>
      <c r="R55" s="25"/>
      <c r="S55" s="25"/>
      <c r="T55" s="43"/>
      <c r="U55" s="43"/>
    </row>
    <row r="56" ht="15.75" customHeight="1">
      <c r="A56" s="44"/>
      <c r="B56" s="23"/>
      <c r="C56" s="24"/>
      <c r="D56" s="23"/>
      <c r="E56" s="23"/>
      <c r="F56" s="23"/>
      <c r="G56" s="23"/>
      <c r="H56" s="44"/>
      <c r="I56" s="44"/>
      <c r="J56" s="23"/>
      <c r="K56" s="23"/>
      <c r="L56" s="23"/>
      <c r="M56" s="23"/>
      <c r="N56" s="23"/>
      <c r="O56" s="24"/>
      <c r="P56" s="24"/>
      <c r="Q56" s="23"/>
      <c r="R56" s="23"/>
      <c r="S56" s="23"/>
      <c r="T56" s="45"/>
      <c r="U56" s="45"/>
    </row>
    <row r="57" ht="15.75" customHeight="1">
      <c r="A57" s="42"/>
      <c r="B57" s="25"/>
      <c r="C57" s="26"/>
      <c r="D57" s="25"/>
      <c r="E57" s="25"/>
      <c r="F57" s="25"/>
      <c r="G57" s="25"/>
      <c r="H57" s="42"/>
      <c r="I57" s="42"/>
      <c r="J57" s="25"/>
      <c r="K57" s="25"/>
      <c r="L57" s="25"/>
      <c r="M57" s="25"/>
      <c r="N57" s="25"/>
      <c r="O57" s="26"/>
      <c r="P57" s="26"/>
      <c r="Q57" s="25"/>
      <c r="R57" s="25"/>
      <c r="S57" s="25"/>
      <c r="T57" s="43"/>
      <c r="U57" s="43"/>
    </row>
    <row r="58" ht="15.75" customHeight="1">
      <c r="A58" s="44"/>
      <c r="B58" s="23"/>
      <c r="C58" s="24"/>
      <c r="D58" s="23"/>
      <c r="E58" s="23"/>
      <c r="F58" s="23"/>
      <c r="G58" s="23"/>
      <c r="H58" s="44"/>
      <c r="I58" s="44"/>
      <c r="J58" s="23"/>
      <c r="K58" s="23"/>
      <c r="L58" s="23"/>
      <c r="M58" s="23"/>
      <c r="N58" s="23"/>
      <c r="O58" s="24"/>
      <c r="P58" s="24"/>
      <c r="Q58" s="23"/>
      <c r="R58" s="23"/>
      <c r="S58" s="23"/>
      <c r="T58" s="45"/>
      <c r="U58" s="45"/>
    </row>
    <row r="59" ht="15.75" customHeight="1">
      <c r="A59" s="42"/>
      <c r="B59" s="25"/>
      <c r="C59" s="26"/>
      <c r="D59" s="25"/>
      <c r="E59" s="25"/>
      <c r="F59" s="25"/>
      <c r="G59" s="25"/>
      <c r="H59" s="42"/>
      <c r="I59" s="42"/>
      <c r="J59" s="25"/>
      <c r="K59" s="25"/>
      <c r="L59" s="25"/>
      <c r="M59" s="25"/>
      <c r="N59" s="25"/>
      <c r="O59" s="26"/>
      <c r="P59" s="26"/>
      <c r="Q59" s="25"/>
      <c r="R59" s="25"/>
      <c r="S59" s="25"/>
      <c r="T59" s="43"/>
      <c r="U59" s="43"/>
    </row>
    <row r="60" ht="15.75" customHeight="1">
      <c r="A60" s="44"/>
      <c r="B60" s="23"/>
      <c r="C60" s="24"/>
      <c r="D60" s="23"/>
      <c r="E60" s="23"/>
      <c r="F60" s="23"/>
      <c r="G60" s="23"/>
      <c r="H60" s="44"/>
      <c r="I60" s="44"/>
      <c r="J60" s="23"/>
      <c r="K60" s="23"/>
      <c r="L60" s="23"/>
      <c r="M60" s="23"/>
      <c r="N60" s="23"/>
      <c r="O60" s="24"/>
      <c r="P60" s="24"/>
      <c r="Q60" s="23"/>
      <c r="R60" s="23"/>
      <c r="S60" s="23"/>
      <c r="T60" s="45"/>
      <c r="U60" s="45"/>
    </row>
    <row r="61" ht="15.75" customHeight="1">
      <c r="A61" s="42"/>
      <c r="B61" s="25"/>
      <c r="C61" s="26"/>
      <c r="D61" s="25"/>
      <c r="E61" s="25"/>
      <c r="F61" s="25"/>
      <c r="G61" s="25"/>
      <c r="H61" s="42"/>
      <c r="I61" s="42"/>
      <c r="J61" s="25"/>
      <c r="K61" s="25"/>
      <c r="L61" s="25"/>
      <c r="M61" s="25"/>
      <c r="N61" s="25"/>
      <c r="O61" s="26"/>
      <c r="P61" s="26"/>
      <c r="Q61" s="25"/>
      <c r="R61" s="25"/>
      <c r="S61" s="25"/>
      <c r="T61" s="43"/>
      <c r="U61" s="43"/>
    </row>
    <row r="62" ht="15.75" customHeight="1">
      <c r="A62" s="44"/>
      <c r="B62" s="23"/>
      <c r="C62" s="24"/>
      <c r="D62" s="23"/>
      <c r="E62" s="23"/>
      <c r="F62" s="23"/>
      <c r="G62" s="23"/>
      <c r="H62" s="44"/>
      <c r="I62" s="44"/>
      <c r="J62" s="23"/>
      <c r="K62" s="23"/>
      <c r="L62" s="23"/>
      <c r="M62" s="23"/>
      <c r="N62" s="23"/>
      <c r="O62" s="24"/>
      <c r="P62" s="24"/>
      <c r="Q62" s="23"/>
      <c r="R62" s="23"/>
      <c r="S62" s="23"/>
      <c r="T62" s="45"/>
      <c r="U62" s="45"/>
    </row>
    <row r="63" ht="15.75" customHeight="1">
      <c r="A63" s="42"/>
      <c r="B63" s="25"/>
      <c r="C63" s="26"/>
      <c r="D63" s="25"/>
      <c r="E63" s="25"/>
      <c r="F63" s="25"/>
      <c r="G63" s="25"/>
      <c r="H63" s="42"/>
      <c r="I63" s="42"/>
      <c r="J63" s="25"/>
      <c r="K63" s="25"/>
      <c r="L63" s="25"/>
      <c r="M63" s="25"/>
      <c r="N63" s="25"/>
      <c r="O63" s="26"/>
      <c r="P63" s="26"/>
      <c r="Q63" s="25"/>
      <c r="R63" s="25"/>
      <c r="S63" s="25"/>
      <c r="T63" s="43"/>
      <c r="U63" s="43"/>
    </row>
    <row r="64" ht="15.75" customHeight="1">
      <c r="A64" s="44"/>
      <c r="B64" s="23"/>
      <c r="C64" s="24"/>
      <c r="D64" s="23"/>
      <c r="E64" s="23"/>
      <c r="F64" s="23"/>
      <c r="G64" s="23"/>
      <c r="H64" s="44"/>
      <c r="I64" s="44"/>
      <c r="J64" s="23"/>
      <c r="K64" s="23"/>
      <c r="L64" s="23"/>
      <c r="M64" s="23"/>
      <c r="N64" s="23"/>
      <c r="O64" s="24"/>
      <c r="P64" s="24"/>
      <c r="Q64" s="23"/>
      <c r="R64" s="23"/>
      <c r="S64" s="23"/>
      <c r="T64" s="45"/>
      <c r="U64" s="45"/>
    </row>
    <row r="65" ht="15.75" customHeight="1">
      <c r="A65" s="42"/>
      <c r="B65" s="25"/>
      <c r="C65" s="26"/>
      <c r="D65" s="25"/>
      <c r="E65" s="25"/>
      <c r="F65" s="25"/>
      <c r="G65" s="25"/>
      <c r="H65" s="42"/>
      <c r="I65" s="42"/>
      <c r="J65" s="25"/>
      <c r="K65" s="25"/>
      <c r="L65" s="25"/>
      <c r="M65" s="25"/>
      <c r="N65" s="25"/>
      <c r="O65" s="26"/>
      <c r="P65" s="26"/>
      <c r="Q65" s="25"/>
      <c r="R65" s="25"/>
      <c r="S65" s="25"/>
      <c r="T65" s="43"/>
      <c r="U65" s="43"/>
    </row>
    <row r="66" ht="15.75" customHeight="1">
      <c r="A66" s="44"/>
      <c r="B66" s="23"/>
      <c r="C66" s="24"/>
      <c r="D66" s="23"/>
      <c r="E66" s="23"/>
      <c r="F66" s="23"/>
      <c r="G66" s="23"/>
      <c r="H66" s="44"/>
      <c r="I66" s="44"/>
      <c r="J66" s="23"/>
      <c r="K66" s="23"/>
      <c r="L66" s="23"/>
      <c r="M66" s="23"/>
      <c r="N66" s="23"/>
      <c r="O66" s="24"/>
      <c r="P66" s="24"/>
      <c r="Q66" s="23"/>
      <c r="R66" s="23"/>
      <c r="S66" s="23"/>
      <c r="T66" s="45"/>
      <c r="U66" s="45"/>
    </row>
    <row r="67" ht="15.75" customHeight="1">
      <c r="A67" s="42"/>
      <c r="B67" s="25"/>
      <c r="C67" s="26"/>
      <c r="D67" s="25"/>
      <c r="E67" s="25"/>
      <c r="F67" s="25"/>
      <c r="G67" s="25"/>
      <c r="H67" s="42"/>
      <c r="I67" s="42"/>
      <c r="J67" s="25"/>
      <c r="K67" s="25"/>
      <c r="L67" s="25"/>
      <c r="M67" s="25"/>
      <c r="N67" s="25"/>
      <c r="O67" s="26"/>
      <c r="P67" s="26"/>
      <c r="Q67" s="25"/>
      <c r="R67" s="25"/>
      <c r="S67" s="25"/>
      <c r="T67" s="43"/>
      <c r="U67" s="43"/>
    </row>
    <row r="68" ht="15.75" customHeight="1">
      <c r="A68" s="44"/>
      <c r="B68" s="23"/>
      <c r="C68" s="24"/>
      <c r="D68" s="23"/>
      <c r="E68" s="23"/>
      <c r="F68" s="23"/>
      <c r="G68" s="23"/>
      <c r="H68" s="44"/>
      <c r="I68" s="44"/>
      <c r="J68" s="23"/>
      <c r="K68" s="23"/>
      <c r="L68" s="23"/>
      <c r="M68" s="23"/>
      <c r="N68" s="23"/>
      <c r="O68" s="24"/>
      <c r="P68" s="24"/>
      <c r="Q68" s="23"/>
      <c r="R68" s="23"/>
      <c r="S68" s="23"/>
      <c r="T68" s="45"/>
      <c r="U68" s="45"/>
    </row>
    <row r="69" ht="15.75" customHeight="1">
      <c r="A69" s="42"/>
      <c r="B69" s="25"/>
      <c r="C69" s="26"/>
      <c r="D69" s="25"/>
      <c r="E69" s="25"/>
      <c r="F69" s="25"/>
      <c r="G69" s="25"/>
      <c r="H69" s="42"/>
      <c r="I69" s="42"/>
      <c r="J69" s="25"/>
      <c r="K69" s="25"/>
      <c r="L69" s="25"/>
      <c r="M69" s="25"/>
      <c r="N69" s="25"/>
      <c r="O69" s="26"/>
      <c r="P69" s="26"/>
      <c r="Q69" s="25"/>
      <c r="R69" s="25"/>
      <c r="S69" s="25"/>
      <c r="T69" s="43"/>
      <c r="U69" s="43"/>
    </row>
    <row r="70" ht="15.75" customHeight="1">
      <c r="A70" s="44"/>
      <c r="B70" s="23"/>
      <c r="C70" s="24"/>
      <c r="D70" s="23"/>
      <c r="E70" s="23"/>
      <c r="F70" s="23"/>
      <c r="G70" s="23"/>
      <c r="H70" s="44"/>
      <c r="I70" s="44"/>
      <c r="J70" s="23"/>
      <c r="K70" s="23"/>
      <c r="L70" s="23"/>
      <c r="M70" s="23"/>
      <c r="N70" s="23"/>
      <c r="O70" s="24"/>
      <c r="P70" s="24"/>
      <c r="Q70" s="23"/>
      <c r="R70" s="23"/>
      <c r="S70" s="23"/>
      <c r="T70" s="45"/>
      <c r="U70" s="45"/>
    </row>
    <row r="71" ht="15.75" customHeight="1">
      <c r="A71" s="42"/>
      <c r="B71" s="25"/>
      <c r="C71" s="26"/>
      <c r="D71" s="25"/>
      <c r="E71" s="25"/>
      <c r="F71" s="25"/>
      <c r="G71" s="25"/>
      <c r="H71" s="42"/>
      <c r="I71" s="42"/>
      <c r="J71" s="25"/>
      <c r="K71" s="25"/>
      <c r="L71" s="25"/>
      <c r="M71" s="25"/>
      <c r="N71" s="25"/>
      <c r="O71" s="26"/>
      <c r="P71" s="26"/>
      <c r="Q71" s="25"/>
      <c r="R71" s="25"/>
      <c r="S71" s="25"/>
      <c r="T71" s="43"/>
      <c r="U71" s="43"/>
    </row>
    <row r="72" ht="15.75" customHeight="1">
      <c r="A72" s="44"/>
      <c r="B72" s="23"/>
      <c r="C72" s="24"/>
      <c r="D72" s="23"/>
      <c r="E72" s="23"/>
      <c r="F72" s="23"/>
      <c r="G72" s="23"/>
      <c r="H72" s="44"/>
      <c r="I72" s="44"/>
      <c r="J72" s="23"/>
      <c r="K72" s="23"/>
      <c r="L72" s="23"/>
      <c r="M72" s="23"/>
      <c r="N72" s="23"/>
      <c r="O72" s="24"/>
      <c r="P72" s="24"/>
      <c r="Q72" s="23"/>
      <c r="R72" s="23"/>
      <c r="S72" s="23"/>
      <c r="T72" s="45"/>
      <c r="U72" s="45"/>
    </row>
    <row r="73" ht="15.75" customHeight="1">
      <c r="A73" s="42"/>
      <c r="B73" s="25"/>
      <c r="C73" s="26"/>
      <c r="D73" s="25"/>
      <c r="E73" s="25"/>
      <c r="F73" s="25"/>
      <c r="G73" s="25"/>
      <c r="H73" s="42"/>
      <c r="I73" s="42"/>
      <c r="J73" s="25"/>
      <c r="K73" s="25"/>
      <c r="L73" s="25"/>
      <c r="M73" s="25"/>
      <c r="N73" s="25"/>
      <c r="O73" s="26"/>
      <c r="P73" s="26"/>
      <c r="Q73" s="25"/>
      <c r="R73" s="25"/>
      <c r="S73" s="25"/>
      <c r="T73" s="43"/>
      <c r="U73" s="43"/>
    </row>
    <row r="74" ht="15.75" customHeight="1">
      <c r="A74" s="44"/>
      <c r="B74" s="23"/>
      <c r="C74" s="24"/>
      <c r="D74" s="23"/>
      <c r="E74" s="23"/>
      <c r="F74" s="23"/>
      <c r="G74" s="23"/>
      <c r="H74" s="44"/>
      <c r="I74" s="44"/>
      <c r="J74" s="23"/>
      <c r="K74" s="23"/>
      <c r="L74" s="23"/>
      <c r="M74" s="23"/>
      <c r="N74" s="23"/>
      <c r="O74" s="24"/>
      <c r="P74" s="24"/>
      <c r="Q74" s="23"/>
      <c r="R74" s="23"/>
      <c r="S74" s="23"/>
      <c r="T74" s="45"/>
      <c r="U74" s="45"/>
    </row>
    <row r="75" ht="15.75" customHeight="1">
      <c r="A75" s="42"/>
      <c r="B75" s="25"/>
      <c r="C75" s="26"/>
      <c r="D75" s="25"/>
      <c r="E75" s="25"/>
      <c r="F75" s="25"/>
      <c r="G75" s="25"/>
      <c r="H75" s="42"/>
      <c r="I75" s="42"/>
      <c r="J75" s="25"/>
      <c r="K75" s="25"/>
      <c r="L75" s="25"/>
      <c r="M75" s="25"/>
      <c r="N75" s="25"/>
      <c r="O75" s="26"/>
      <c r="P75" s="26"/>
      <c r="Q75" s="25"/>
      <c r="R75" s="25"/>
      <c r="S75" s="25"/>
      <c r="T75" s="43"/>
      <c r="U75" s="43"/>
    </row>
    <row r="76" ht="15.75" customHeight="1">
      <c r="A76" s="44"/>
      <c r="B76" s="23"/>
      <c r="C76" s="24"/>
      <c r="D76" s="23"/>
      <c r="E76" s="23"/>
      <c r="F76" s="23"/>
      <c r="G76" s="23"/>
      <c r="H76" s="44"/>
      <c r="I76" s="44"/>
      <c r="J76" s="23"/>
      <c r="K76" s="23"/>
      <c r="L76" s="23"/>
      <c r="M76" s="23"/>
      <c r="N76" s="23"/>
      <c r="O76" s="24"/>
      <c r="P76" s="24"/>
      <c r="Q76" s="23"/>
      <c r="R76" s="23"/>
      <c r="S76" s="23"/>
      <c r="T76" s="45"/>
      <c r="U76" s="45"/>
    </row>
    <row r="77" ht="15.75" customHeight="1">
      <c r="A77" s="42"/>
      <c r="B77" s="25"/>
      <c r="C77" s="26"/>
      <c r="D77" s="25"/>
      <c r="E77" s="25"/>
      <c r="F77" s="25"/>
      <c r="G77" s="25"/>
      <c r="H77" s="42"/>
      <c r="I77" s="42"/>
      <c r="J77" s="25"/>
      <c r="K77" s="25"/>
      <c r="L77" s="25"/>
      <c r="M77" s="25"/>
      <c r="N77" s="25"/>
      <c r="O77" s="26"/>
      <c r="P77" s="26"/>
      <c r="Q77" s="25"/>
      <c r="R77" s="25"/>
      <c r="S77" s="25"/>
      <c r="T77" s="43"/>
      <c r="U77" s="43"/>
    </row>
    <row r="78" ht="15.75" customHeight="1">
      <c r="A78" s="44"/>
      <c r="B78" s="23"/>
      <c r="C78" s="24"/>
      <c r="D78" s="23"/>
      <c r="E78" s="23"/>
      <c r="F78" s="23"/>
      <c r="G78" s="23"/>
      <c r="H78" s="44"/>
      <c r="I78" s="44"/>
      <c r="J78" s="23"/>
      <c r="K78" s="23"/>
      <c r="L78" s="23"/>
      <c r="M78" s="23"/>
      <c r="N78" s="23"/>
      <c r="O78" s="24"/>
      <c r="P78" s="24"/>
      <c r="Q78" s="23"/>
      <c r="R78" s="23"/>
      <c r="S78" s="23"/>
      <c r="T78" s="45"/>
      <c r="U78" s="45"/>
    </row>
    <row r="79" ht="15.75" customHeight="1">
      <c r="A79" s="42"/>
      <c r="B79" s="25"/>
      <c r="C79" s="26"/>
      <c r="D79" s="25"/>
      <c r="E79" s="25"/>
      <c r="F79" s="25"/>
      <c r="G79" s="25"/>
      <c r="H79" s="42"/>
      <c r="I79" s="42"/>
      <c r="J79" s="25"/>
      <c r="K79" s="25"/>
      <c r="L79" s="25"/>
      <c r="M79" s="25"/>
      <c r="N79" s="25"/>
      <c r="O79" s="26"/>
      <c r="P79" s="26"/>
      <c r="Q79" s="25"/>
      <c r="R79" s="25"/>
      <c r="S79" s="25"/>
      <c r="T79" s="43"/>
      <c r="U79" s="43"/>
    </row>
    <row r="80" ht="15.75" customHeight="1">
      <c r="A80" s="44"/>
      <c r="B80" s="23"/>
      <c r="C80" s="24"/>
      <c r="D80" s="23"/>
      <c r="E80" s="23"/>
      <c r="F80" s="23"/>
      <c r="G80" s="23"/>
      <c r="H80" s="44"/>
      <c r="I80" s="44"/>
      <c r="J80" s="23"/>
      <c r="K80" s="23"/>
      <c r="L80" s="23"/>
      <c r="M80" s="23"/>
      <c r="N80" s="23"/>
      <c r="O80" s="24"/>
      <c r="P80" s="24"/>
      <c r="Q80" s="23"/>
      <c r="R80" s="23"/>
      <c r="S80" s="23"/>
      <c r="T80" s="45"/>
      <c r="U80" s="45"/>
    </row>
    <row r="81" ht="15.75" customHeight="1">
      <c r="A81" s="42"/>
      <c r="B81" s="25"/>
      <c r="C81" s="26"/>
      <c r="D81" s="25"/>
      <c r="E81" s="25"/>
      <c r="F81" s="25"/>
      <c r="G81" s="25"/>
      <c r="H81" s="42"/>
      <c r="I81" s="42"/>
      <c r="J81" s="25"/>
      <c r="K81" s="25"/>
      <c r="L81" s="25"/>
      <c r="M81" s="25"/>
      <c r="N81" s="25"/>
      <c r="O81" s="26"/>
      <c r="P81" s="26"/>
      <c r="Q81" s="25"/>
      <c r="R81" s="25"/>
      <c r="S81" s="25"/>
      <c r="T81" s="43"/>
      <c r="U81" s="43"/>
    </row>
    <row r="82" ht="15.75" customHeight="1">
      <c r="A82" s="44"/>
      <c r="B82" s="23"/>
      <c r="C82" s="24"/>
      <c r="D82" s="23"/>
      <c r="E82" s="23"/>
      <c r="F82" s="23"/>
      <c r="G82" s="23"/>
      <c r="H82" s="44"/>
      <c r="I82" s="44"/>
      <c r="J82" s="23"/>
      <c r="K82" s="23"/>
      <c r="L82" s="23"/>
      <c r="M82" s="23"/>
      <c r="N82" s="23"/>
      <c r="O82" s="24"/>
      <c r="P82" s="24"/>
      <c r="Q82" s="23"/>
      <c r="R82" s="23"/>
      <c r="S82" s="23"/>
      <c r="T82" s="45"/>
      <c r="U82" s="45"/>
    </row>
    <row r="83" ht="15.75" customHeight="1">
      <c r="A83" s="42"/>
      <c r="B83" s="25"/>
      <c r="C83" s="26"/>
      <c r="D83" s="25"/>
      <c r="E83" s="25"/>
      <c r="F83" s="25"/>
      <c r="G83" s="25"/>
      <c r="H83" s="42"/>
      <c r="I83" s="42"/>
      <c r="J83" s="25"/>
      <c r="K83" s="25"/>
      <c r="L83" s="25"/>
      <c r="M83" s="25"/>
      <c r="N83" s="25"/>
      <c r="O83" s="26"/>
      <c r="P83" s="26"/>
      <c r="Q83" s="25"/>
      <c r="R83" s="25"/>
      <c r="S83" s="25"/>
      <c r="T83" s="43"/>
      <c r="U83" s="43"/>
    </row>
    <row r="84" ht="15.75" customHeight="1">
      <c r="A84" s="44"/>
      <c r="B84" s="23"/>
      <c r="C84" s="24"/>
      <c r="D84" s="23"/>
      <c r="E84" s="23"/>
      <c r="F84" s="23"/>
      <c r="G84" s="23"/>
      <c r="H84" s="44"/>
      <c r="I84" s="44"/>
      <c r="J84" s="23"/>
      <c r="K84" s="23"/>
      <c r="L84" s="23"/>
      <c r="M84" s="23"/>
      <c r="N84" s="23"/>
      <c r="O84" s="24"/>
      <c r="P84" s="24"/>
      <c r="Q84" s="23"/>
      <c r="R84" s="23"/>
      <c r="S84" s="23"/>
      <c r="T84" s="45"/>
      <c r="U84" s="45"/>
    </row>
    <row r="85" ht="15.75" customHeight="1">
      <c r="A85" s="42"/>
      <c r="B85" s="25"/>
      <c r="C85" s="26"/>
      <c r="D85" s="25"/>
      <c r="E85" s="25"/>
      <c r="F85" s="25"/>
      <c r="G85" s="25"/>
      <c r="H85" s="42"/>
      <c r="I85" s="42"/>
      <c r="J85" s="25"/>
      <c r="K85" s="25"/>
      <c r="L85" s="25"/>
      <c r="M85" s="25"/>
      <c r="N85" s="25"/>
      <c r="O85" s="26"/>
      <c r="P85" s="26"/>
      <c r="Q85" s="25"/>
      <c r="R85" s="25"/>
      <c r="S85" s="25"/>
      <c r="T85" s="43"/>
      <c r="U85" s="43"/>
    </row>
    <row r="86" ht="15.75" customHeight="1">
      <c r="A86" s="44"/>
      <c r="B86" s="23"/>
      <c r="C86" s="24"/>
      <c r="D86" s="23"/>
      <c r="E86" s="23"/>
      <c r="F86" s="23"/>
      <c r="G86" s="23"/>
      <c r="H86" s="44"/>
      <c r="I86" s="44"/>
      <c r="J86" s="23"/>
      <c r="K86" s="23"/>
      <c r="L86" s="23"/>
      <c r="M86" s="23"/>
      <c r="N86" s="23"/>
      <c r="O86" s="24"/>
      <c r="P86" s="24"/>
      <c r="Q86" s="23"/>
      <c r="R86" s="23"/>
      <c r="S86" s="23"/>
      <c r="T86" s="45"/>
      <c r="U86" s="45"/>
    </row>
    <row r="87" ht="15.75" customHeight="1">
      <c r="A87" s="42"/>
      <c r="B87" s="25"/>
      <c r="C87" s="26"/>
      <c r="D87" s="25"/>
      <c r="E87" s="25"/>
      <c r="F87" s="25"/>
      <c r="G87" s="25"/>
      <c r="H87" s="42"/>
      <c r="I87" s="42"/>
      <c r="J87" s="25"/>
      <c r="K87" s="25"/>
      <c r="L87" s="25"/>
      <c r="M87" s="25"/>
      <c r="N87" s="25"/>
      <c r="O87" s="26"/>
      <c r="P87" s="26"/>
      <c r="Q87" s="25"/>
      <c r="R87" s="25"/>
      <c r="S87" s="25"/>
      <c r="T87" s="43"/>
      <c r="U87" s="43"/>
    </row>
    <row r="88" ht="15.75" customHeight="1">
      <c r="A88" s="44"/>
      <c r="B88" s="23"/>
      <c r="C88" s="24"/>
      <c r="D88" s="23"/>
      <c r="E88" s="23"/>
      <c r="F88" s="23"/>
      <c r="G88" s="23"/>
      <c r="H88" s="44"/>
      <c r="I88" s="44"/>
      <c r="J88" s="23"/>
      <c r="K88" s="23"/>
      <c r="L88" s="23"/>
      <c r="M88" s="23"/>
      <c r="N88" s="23"/>
      <c r="O88" s="24"/>
      <c r="P88" s="24"/>
      <c r="Q88" s="23"/>
      <c r="R88" s="23"/>
      <c r="S88" s="23"/>
      <c r="T88" s="45"/>
      <c r="U88" s="45"/>
    </row>
    <row r="89" ht="15.75" customHeight="1">
      <c r="A89" s="42"/>
      <c r="B89" s="25"/>
      <c r="C89" s="26"/>
      <c r="D89" s="25"/>
      <c r="E89" s="25"/>
      <c r="F89" s="25"/>
      <c r="G89" s="25"/>
      <c r="H89" s="42"/>
      <c r="I89" s="42"/>
      <c r="J89" s="25"/>
      <c r="K89" s="25"/>
      <c r="L89" s="25"/>
      <c r="M89" s="25"/>
      <c r="N89" s="25"/>
      <c r="O89" s="26"/>
      <c r="P89" s="26"/>
      <c r="Q89" s="25"/>
      <c r="R89" s="25"/>
      <c r="S89" s="25"/>
      <c r="T89" s="43"/>
      <c r="U89" s="43"/>
    </row>
    <row r="90" ht="15.75" customHeight="1">
      <c r="A90" s="44"/>
      <c r="B90" s="23"/>
      <c r="C90" s="24"/>
      <c r="D90" s="23"/>
      <c r="E90" s="23"/>
      <c r="F90" s="23"/>
      <c r="G90" s="23"/>
      <c r="H90" s="44"/>
      <c r="I90" s="44"/>
      <c r="J90" s="23"/>
      <c r="K90" s="23"/>
      <c r="L90" s="23"/>
      <c r="M90" s="23"/>
      <c r="N90" s="23"/>
      <c r="O90" s="24"/>
      <c r="P90" s="24"/>
      <c r="Q90" s="23"/>
      <c r="R90" s="23"/>
      <c r="S90" s="23"/>
      <c r="T90" s="45"/>
      <c r="U90" s="45"/>
    </row>
    <row r="91" ht="15.75" customHeight="1">
      <c r="A91" s="42"/>
      <c r="B91" s="25"/>
      <c r="C91" s="26"/>
      <c r="D91" s="25"/>
      <c r="E91" s="25"/>
      <c r="F91" s="25"/>
      <c r="G91" s="25"/>
      <c r="H91" s="42"/>
      <c r="I91" s="42"/>
      <c r="J91" s="25"/>
      <c r="K91" s="25"/>
      <c r="L91" s="25"/>
      <c r="M91" s="25"/>
      <c r="N91" s="25"/>
      <c r="O91" s="26"/>
      <c r="P91" s="26"/>
      <c r="Q91" s="25"/>
      <c r="R91" s="25"/>
      <c r="S91" s="25"/>
      <c r="T91" s="43"/>
      <c r="U91" s="43"/>
    </row>
    <row r="92" ht="15.75" customHeight="1">
      <c r="A92" s="44"/>
      <c r="B92" s="23"/>
      <c r="C92" s="24"/>
      <c r="D92" s="23"/>
      <c r="E92" s="23"/>
      <c r="F92" s="23"/>
      <c r="G92" s="23"/>
      <c r="H92" s="44"/>
      <c r="I92" s="44"/>
      <c r="J92" s="23"/>
      <c r="K92" s="23"/>
      <c r="L92" s="23"/>
      <c r="M92" s="23"/>
      <c r="N92" s="23"/>
      <c r="O92" s="24"/>
      <c r="P92" s="24"/>
      <c r="Q92" s="23"/>
      <c r="R92" s="23"/>
      <c r="S92" s="23"/>
      <c r="T92" s="45"/>
      <c r="U92" s="45"/>
    </row>
    <row r="93" ht="15.75" customHeight="1">
      <c r="A93" s="42"/>
      <c r="B93" s="25"/>
      <c r="C93" s="26"/>
      <c r="D93" s="25"/>
      <c r="E93" s="25"/>
      <c r="F93" s="25"/>
      <c r="G93" s="25"/>
      <c r="H93" s="42"/>
      <c r="I93" s="42"/>
      <c r="J93" s="25"/>
      <c r="K93" s="25"/>
      <c r="L93" s="25"/>
      <c r="M93" s="25"/>
      <c r="N93" s="25"/>
      <c r="O93" s="26"/>
      <c r="P93" s="26"/>
      <c r="Q93" s="25"/>
      <c r="R93" s="25"/>
      <c r="S93" s="25"/>
      <c r="T93" s="43"/>
      <c r="U93" s="43"/>
    </row>
    <row r="94" ht="15.75" customHeight="1">
      <c r="A94" s="44"/>
      <c r="B94" s="23"/>
      <c r="C94" s="24"/>
      <c r="D94" s="23"/>
      <c r="E94" s="23"/>
      <c r="F94" s="23"/>
      <c r="G94" s="23"/>
      <c r="H94" s="44"/>
      <c r="I94" s="44"/>
      <c r="J94" s="23"/>
      <c r="K94" s="23"/>
      <c r="L94" s="23"/>
      <c r="M94" s="23"/>
      <c r="N94" s="23"/>
      <c r="O94" s="24"/>
      <c r="P94" s="24"/>
      <c r="Q94" s="23"/>
      <c r="R94" s="23"/>
      <c r="S94" s="23"/>
      <c r="T94" s="45"/>
      <c r="U94" s="45"/>
    </row>
    <row r="95" ht="15.75" customHeight="1">
      <c r="A95" s="42"/>
      <c r="B95" s="25"/>
      <c r="C95" s="26"/>
      <c r="D95" s="25"/>
      <c r="E95" s="25"/>
      <c r="F95" s="25"/>
      <c r="G95" s="25"/>
      <c r="H95" s="42"/>
      <c r="I95" s="42"/>
      <c r="J95" s="25"/>
      <c r="K95" s="25"/>
      <c r="L95" s="25"/>
      <c r="M95" s="25"/>
      <c r="N95" s="25"/>
      <c r="O95" s="26"/>
      <c r="P95" s="26"/>
      <c r="Q95" s="25"/>
      <c r="R95" s="25"/>
      <c r="S95" s="25"/>
      <c r="T95" s="43"/>
      <c r="U95" s="43"/>
    </row>
    <row r="96" ht="15.75" customHeight="1">
      <c r="A96" s="44"/>
      <c r="B96" s="23"/>
      <c r="C96" s="24"/>
      <c r="D96" s="23"/>
      <c r="E96" s="23"/>
      <c r="F96" s="23"/>
      <c r="G96" s="23"/>
      <c r="H96" s="44"/>
      <c r="I96" s="44"/>
      <c r="J96" s="23"/>
      <c r="K96" s="23"/>
      <c r="L96" s="23"/>
      <c r="M96" s="23"/>
      <c r="N96" s="23"/>
      <c r="O96" s="24"/>
      <c r="P96" s="24"/>
      <c r="Q96" s="23"/>
      <c r="R96" s="23"/>
      <c r="S96" s="23"/>
      <c r="T96" s="45"/>
      <c r="U96" s="45"/>
    </row>
    <row r="97" ht="15.75" customHeight="1">
      <c r="A97" s="42"/>
      <c r="B97" s="25"/>
      <c r="C97" s="26"/>
      <c r="D97" s="25"/>
      <c r="E97" s="25"/>
      <c r="F97" s="25"/>
      <c r="G97" s="25"/>
      <c r="H97" s="42"/>
      <c r="I97" s="42"/>
      <c r="J97" s="25"/>
      <c r="K97" s="25"/>
      <c r="L97" s="25"/>
      <c r="M97" s="25"/>
      <c r="N97" s="25"/>
      <c r="O97" s="26"/>
      <c r="P97" s="26"/>
      <c r="Q97" s="25"/>
      <c r="R97" s="25"/>
      <c r="S97" s="25"/>
      <c r="T97" s="43"/>
      <c r="U97" s="43"/>
    </row>
    <row r="98" ht="15.75" customHeight="1">
      <c r="A98" s="44"/>
      <c r="B98" s="23"/>
      <c r="C98" s="24"/>
      <c r="D98" s="23"/>
      <c r="E98" s="23"/>
      <c r="F98" s="23"/>
      <c r="G98" s="23"/>
      <c r="H98" s="44"/>
      <c r="I98" s="44"/>
      <c r="J98" s="23"/>
      <c r="K98" s="23"/>
      <c r="L98" s="23"/>
      <c r="M98" s="23"/>
      <c r="N98" s="23"/>
      <c r="O98" s="24"/>
      <c r="P98" s="24"/>
      <c r="Q98" s="23"/>
      <c r="R98" s="23"/>
      <c r="S98" s="23"/>
      <c r="T98" s="45"/>
      <c r="U98" s="45"/>
    </row>
    <row r="99" ht="15.75" customHeight="1">
      <c r="A99" s="42"/>
      <c r="B99" s="25"/>
      <c r="C99" s="26"/>
      <c r="D99" s="25"/>
      <c r="E99" s="25"/>
      <c r="F99" s="25"/>
      <c r="G99" s="25"/>
      <c r="H99" s="42"/>
      <c r="I99" s="42"/>
      <c r="J99" s="25"/>
      <c r="K99" s="25"/>
      <c r="L99" s="25"/>
      <c r="M99" s="25"/>
      <c r="N99" s="25"/>
      <c r="O99" s="26"/>
      <c r="P99" s="26"/>
      <c r="Q99" s="25"/>
      <c r="R99" s="25"/>
      <c r="S99" s="25"/>
      <c r="T99" s="43"/>
      <c r="U99" s="43"/>
    </row>
    <row r="100" ht="15.75" customHeight="1">
      <c r="A100" s="44"/>
      <c r="B100" s="23"/>
      <c r="C100" s="24"/>
      <c r="D100" s="23"/>
      <c r="E100" s="23"/>
      <c r="F100" s="23"/>
      <c r="G100" s="23"/>
      <c r="H100" s="44"/>
      <c r="I100" s="44"/>
      <c r="J100" s="23"/>
      <c r="K100" s="23"/>
      <c r="L100" s="23"/>
      <c r="M100" s="23"/>
      <c r="N100" s="23"/>
      <c r="O100" s="24"/>
      <c r="P100" s="24"/>
      <c r="Q100" s="23"/>
      <c r="R100" s="23"/>
      <c r="S100" s="23"/>
      <c r="T100" s="45"/>
      <c r="U100" s="45"/>
    </row>
    <row r="101" ht="15.75" customHeight="1">
      <c r="A101" s="42"/>
      <c r="B101" s="25"/>
      <c r="C101" s="26"/>
      <c r="D101" s="25"/>
      <c r="E101" s="25"/>
      <c r="F101" s="25"/>
      <c r="G101" s="25"/>
      <c r="H101" s="42"/>
      <c r="I101" s="42"/>
      <c r="J101" s="25"/>
      <c r="K101" s="25"/>
      <c r="L101" s="25"/>
      <c r="M101" s="25"/>
      <c r="N101" s="25"/>
      <c r="O101" s="26"/>
      <c r="P101" s="26"/>
      <c r="Q101" s="25"/>
      <c r="R101" s="25"/>
      <c r="S101" s="25"/>
      <c r="T101" s="43"/>
      <c r="U101" s="43"/>
    </row>
    <row r="102" ht="15.75" customHeight="1">
      <c r="A102" s="44"/>
      <c r="B102" s="23"/>
      <c r="C102" s="24"/>
      <c r="D102" s="23"/>
      <c r="E102" s="23"/>
      <c r="F102" s="23"/>
      <c r="G102" s="23"/>
      <c r="H102" s="44"/>
      <c r="I102" s="44"/>
      <c r="J102" s="23"/>
      <c r="K102" s="23"/>
      <c r="L102" s="23"/>
      <c r="M102" s="23"/>
      <c r="N102" s="23"/>
      <c r="O102" s="24"/>
      <c r="P102" s="24"/>
      <c r="Q102" s="23"/>
      <c r="R102" s="23"/>
      <c r="S102" s="23"/>
      <c r="T102" s="45"/>
      <c r="U102" s="45"/>
    </row>
    <row r="103" ht="15.75" customHeight="1">
      <c r="A103" s="42"/>
      <c r="B103" s="25"/>
      <c r="C103" s="26"/>
      <c r="D103" s="25"/>
      <c r="E103" s="25"/>
      <c r="F103" s="25"/>
      <c r="G103" s="25"/>
      <c r="H103" s="42"/>
      <c r="I103" s="42"/>
      <c r="J103" s="25"/>
      <c r="K103" s="25"/>
      <c r="L103" s="25"/>
      <c r="M103" s="25"/>
      <c r="N103" s="25"/>
      <c r="O103" s="26"/>
      <c r="P103" s="26"/>
      <c r="Q103" s="25"/>
      <c r="R103" s="25"/>
      <c r="S103" s="25"/>
      <c r="T103" s="43"/>
      <c r="U103" s="43"/>
    </row>
    <row r="104" ht="15.75" customHeight="1">
      <c r="A104" s="44"/>
      <c r="B104" s="23"/>
      <c r="C104" s="24"/>
      <c r="D104" s="23"/>
      <c r="E104" s="23"/>
      <c r="F104" s="23"/>
      <c r="G104" s="23"/>
      <c r="H104" s="44"/>
      <c r="I104" s="44"/>
      <c r="J104" s="23"/>
      <c r="K104" s="23"/>
      <c r="L104" s="23"/>
      <c r="M104" s="23"/>
      <c r="N104" s="23"/>
      <c r="O104" s="24"/>
      <c r="P104" s="24"/>
      <c r="Q104" s="23"/>
      <c r="R104" s="23"/>
      <c r="S104" s="23"/>
      <c r="T104" s="45"/>
      <c r="U104" s="45"/>
    </row>
    <row r="105" ht="15.75" customHeight="1">
      <c r="A105" s="42"/>
      <c r="B105" s="25"/>
      <c r="C105" s="26"/>
      <c r="D105" s="25"/>
      <c r="E105" s="25"/>
      <c r="F105" s="25"/>
      <c r="G105" s="25"/>
      <c r="H105" s="42"/>
      <c r="I105" s="42"/>
      <c r="J105" s="25"/>
      <c r="K105" s="25"/>
      <c r="L105" s="25"/>
      <c r="M105" s="25"/>
      <c r="N105" s="25"/>
      <c r="O105" s="26"/>
      <c r="P105" s="26"/>
      <c r="Q105" s="25"/>
      <c r="R105" s="25"/>
      <c r="S105" s="25"/>
      <c r="T105" s="43"/>
      <c r="U105" s="43"/>
    </row>
    <row r="106" ht="15.75" customHeight="1">
      <c r="A106" s="44"/>
      <c r="B106" s="23"/>
      <c r="C106" s="24"/>
      <c r="D106" s="23"/>
      <c r="E106" s="23"/>
      <c r="F106" s="23"/>
      <c r="G106" s="23"/>
      <c r="H106" s="44"/>
      <c r="I106" s="44"/>
      <c r="J106" s="23"/>
      <c r="K106" s="23"/>
      <c r="L106" s="23"/>
      <c r="M106" s="23"/>
      <c r="N106" s="23"/>
      <c r="O106" s="24"/>
      <c r="P106" s="24"/>
      <c r="Q106" s="23"/>
      <c r="R106" s="23"/>
      <c r="S106" s="23"/>
      <c r="T106" s="45"/>
      <c r="U106" s="45"/>
    </row>
    <row r="107" ht="15.75" customHeight="1">
      <c r="A107" s="42"/>
      <c r="B107" s="25"/>
      <c r="C107" s="26"/>
      <c r="D107" s="25"/>
      <c r="E107" s="25"/>
      <c r="F107" s="25"/>
      <c r="G107" s="25"/>
      <c r="H107" s="42"/>
      <c r="I107" s="42"/>
      <c r="J107" s="25"/>
      <c r="K107" s="25"/>
      <c r="L107" s="25"/>
      <c r="M107" s="25"/>
      <c r="N107" s="25"/>
      <c r="O107" s="26"/>
      <c r="P107" s="26"/>
      <c r="Q107" s="25"/>
      <c r="R107" s="25"/>
      <c r="S107" s="25"/>
      <c r="T107" s="43"/>
      <c r="U107" s="43"/>
    </row>
    <row r="108" ht="15.75" customHeight="1">
      <c r="A108" s="44"/>
      <c r="B108" s="23"/>
      <c r="C108" s="24"/>
      <c r="D108" s="23"/>
      <c r="E108" s="23"/>
      <c r="F108" s="23"/>
      <c r="G108" s="23"/>
      <c r="H108" s="44"/>
      <c r="I108" s="44"/>
      <c r="J108" s="23"/>
      <c r="K108" s="23"/>
      <c r="L108" s="23"/>
      <c r="M108" s="23"/>
      <c r="N108" s="23"/>
      <c r="O108" s="24"/>
      <c r="P108" s="24"/>
      <c r="Q108" s="23"/>
      <c r="R108" s="23"/>
      <c r="S108" s="23"/>
      <c r="T108" s="45"/>
      <c r="U108" s="45"/>
    </row>
    <row r="109" ht="15.75" customHeight="1">
      <c r="A109" s="42"/>
      <c r="B109" s="25"/>
      <c r="C109" s="26"/>
      <c r="D109" s="25"/>
      <c r="E109" s="25"/>
      <c r="F109" s="25"/>
      <c r="G109" s="25"/>
      <c r="H109" s="42"/>
      <c r="I109" s="42"/>
      <c r="J109" s="25"/>
      <c r="K109" s="25"/>
      <c r="L109" s="25"/>
      <c r="M109" s="25"/>
      <c r="N109" s="25"/>
      <c r="O109" s="26"/>
      <c r="P109" s="26"/>
      <c r="Q109" s="25"/>
      <c r="R109" s="25"/>
      <c r="S109" s="25"/>
      <c r="T109" s="43"/>
      <c r="U109" s="43"/>
    </row>
    <row r="110" ht="15.75" customHeight="1">
      <c r="A110" s="44"/>
      <c r="B110" s="23"/>
      <c r="C110" s="24"/>
      <c r="D110" s="23"/>
      <c r="E110" s="23"/>
      <c r="F110" s="23"/>
      <c r="G110" s="23"/>
      <c r="H110" s="44"/>
      <c r="I110" s="44"/>
      <c r="J110" s="23"/>
      <c r="K110" s="23"/>
      <c r="L110" s="23"/>
      <c r="M110" s="23"/>
      <c r="N110" s="23"/>
      <c r="O110" s="24"/>
      <c r="P110" s="24"/>
      <c r="Q110" s="23"/>
      <c r="R110" s="23"/>
      <c r="S110" s="23"/>
      <c r="T110" s="45"/>
      <c r="U110" s="45"/>
    </row>
    <row r="111" ht="15.75" customHeight="1">
      <c r="A111" s="42"/>
      <c r="B111" s="25"/>
      <c r="C111" s="26"/>
      <c r="D111" s="25"/>
      <c r="E111" s="25"/>
      <c r="F111" s="25"/>
      <c r="G111" s="25"/>
      <c r="H111" s="42"/>
      <c r="I111" s="42"/>
      <c r="J111" s="25"/>
      <c r="K111" s="25"/>
      <c r="L111" s="25"/>
      <c r="M111" s="25"/>
      <c r="N111" s="25"/>
      <c r="O111" s="26"/>
      <c r="P111" s="26"/>
      <c r="Q111" s="25"/>
      <c r="R111" s="25"/>
      <c r="S111" s="25"/>
      <c r="T111" s="43"/>
      <c r="U111" s="43"/>
    </row>
    <row r="112" ht="15.75" customHeight="1">
      <c r="A112" s="44"/>
      <c r="B112" s="23"/>
      <c r="C112" s="24"/>
      <c r="D112" s="23"/>
      <c r="E112" s="23"/>
      <c r="F112" s="23"/>
      <c r="G112" s="23"/>
      <c r="H112" s="44"/>
      <c r="I112" s="44"/>
      <c r="J112" s="23"/>
      <c r="K112" s="23"/>
      <c r="L112" s="23"/>
      <c r="M112" s="23"/>
      <c r="N112" s="23"/>
      <c r="O112" s="24"/>
      <c r="P112" s="24"/>
      <c r="Q112" s="23"/>
      <c r="R112" s="23"/>
      <c r="S112" s="23"/>
      <c r="T112" s="45"/>
      <c r="U112" s="45"/>
    </row>
    <row r="113" ht="15.75" customHeight="1">
      <c r="A113" s="42"/>
      <c r="B113" s="25"/>
      <c r="C113" s="26"/>
      <c r="D113" s="25"/>
      <c r="E113" s="25"/>
      <c r="F113" s="25"/>
      <c r="G113" s="25"/>
      <c r="H113" s="42"/>
      <c r="I113" s="42"/>
      <c r="J113" s="25"/>
      <c r="K113" s="25"/>
      <c r="L113" s="25"/>
      <c r="M113" s="25"/>
      <c r="N113" s="25"/>
      <c r="O113" s="26"/>
      <c r="P113" s="26"/>
      <c r="Q113" s="25"/>
      <c r="R113" s="25"/>
      <c r="S113" s="25"/>
      <c r="T113" s="43"/>
      <c r="U113" s="43"/>
    </row>
    <row r="114" ht="15.75" customHeight="1">
      <c r="A114" s="44"/>
      <c r="B114" s="23"/>
      <c r="C114" s="24"/>
      <c r="D114" s="23"/>
      <c r="E114" s="23"/>
      <c r="F114" s="23"/>
      <c r="G114" s="23"/>
      <c r="H114" s="44"/>
      <c r="I114" s="44"/>
      <c r="J114" s="23"/>
      <c r="K114" s="23"/>
      <c r="L114" s="23"/>
      <c r="M114" s="23"/>
      <c r="N114" s="23"/>
      <c r="O114" s="24"/>
      <c r="P114" s="24"/>
      <c r="Q114" s="23"/>
      <c r="R114" s="23"/>
      <c r="S114" s="23"/>
      <c r="T114" s="45"/>
      <c r="U114" s="45"/>
    </row>
    <row r="115" ht="15.75" customHeight="1">
      <c r="A115" s="42"/>
      <c r="B115" s="25"/>
      <c r="C115" s="26"/>
      <c r="D115" s="25"/>
      <c r="E115" s="25"/>
      <c r="F115" s="25"/>
      <c r="G115" s="25"/>
      <c r="H115" s="42"/>
      <c r="I115" s="42"/>
      <c r="J115" s="25"/>
      <c r="K115" s="25"/>
      <c r="L115" s="25"/>
      <c r="M115" s="25"/>
      <c r="N115" s="25"/>
      <c r="O115" s="26"/>
      <c r="P115" s="26"/>
      <c r="Q115" s="25"/>
      <c r="R115" s="25"/>
      <c r="S115" s="25"/>
      <c r="T115" s="43"/>
      <c r="U115" s="43"/>
    </row>
    <row r="116" ht="15.75" customHeight="1">
      <c r="A116" s="44"/>
      <c r="B116" s="23"/>
      <c r="C116" s="24"/>
      <c r="D116" s="23"/>
      <c r="E116" s="23"/>
      <c r="F116" s="23"/>
      <c r="G116" s="23"/>
      <c r="H116" s="44"/>
      <c r="I116" s="44"/>
      <c r="J116" s="23"/>
      <c r="K116" s="23"/>
      <c r="L116" s="23"/>
      <c r="M116" s="23"/>
      <c r="N116" s="23"/>
      <c r="O116" s="24"/>
      <c r="P116" s="24"/>
      <c r="Q116" s="23"/>
      <c r="R116" s="23"/>
      <c r="S116" s="23"/>
      <c r="T116" s="45"/>
      <c r="U116" s="45"/>
    </row>
    <row r="117" ht="15.75" customHeight="1">
      <c r="A117" s="42"/>
      <c r="B117" s="25"/>
      <c r="C117" s="26"/>
      <c r="D117" s="25"/>
      <c r="E117" s="25"/>
      <c r="F117" s="25"/>
      <c r="G117" s="25"/>
      <c r="H117" s="42"/>
      <c r="I117" s="42"/>
      <c r="J117" s="25"/>
      <c r="K117" s="25"/>
      <c r="L117" s="25"/>
      <c r="M117" s="25"/>
      <c r="N117" s="25"/>
      <c r="O117" s="26"/>
      <c r="P117" s="26"/>
      <c r="Q117" s="25"/>
      <c r="R117" s="25"/>
      <c r="S117" s="25"/>
      <c r="T117" s="43"/>
      <c r="U117" s="43"/>
    </row>
    <row r="118" ht="15.75" customHeight="1">
      <c r="A118" s="44"/>
      <c r="B118" s="23"/>
      <c r="C118" s="24"/>
      <c r="D118" s="23"/>
      <c r="E118" s="23"/>
      <c r="F118" s="23"/>
      <c r="G118" s="23"/>
      <c r="H118" s="44"/>
      <c r="I118" s="44"/>
      <c r="J118" s="23"/>
      <c r="K118" s="23"/>
      <c r="L118" s="23"/>
      <c r="M118" s="23"/>
      <c r="N118" s="23"/>
      <c r="O118" s="24"/>
      <c r="P118" s="24"/>
      <c r="Q118" s="23"/>
      <c r="R118" s="23"/>
      <c r="S118" s="23"/>
      <c r="T118" s="45"/>
      <c r="U118" s="45"/>
    </row>
    <row r="119" ht="15.75" customHeight="1">
      <c r="A119" s="42"/>
      <c r="B119" s="25"/>
      <c r="C119" s="26"/>
      <c r="D119" s="25"/>
      <c r="E119" s="25"/>
      <c r="F119" s="25"/>
      <c r="G119" s="25"/>
      <c r="H119" s="42"/>
      <c r="I119" s="42"/>
      <c r="J119" s="25"/>
      <c r="K119" s="25"/>
      <c r="L119" s="25"/>
      <c r="M119" s="25"/>
      <c r="N119" s="25"/>
      <c r="O119" s="26"/>
      <c r="P119" s="26"/>
      <c r="Q119" s="25"/>
      <c r="R119" s="25"/>
      <c r="S119" s="25"/>
      <c r="T119" s="43"/>
      <c r="U119" s="43"/>
    </row>
    <row r="120" ht="15.75" customHeight="1">
      <c r="A120" s="44"/>
      <c r="B120" s="23"/>
      <c r="C120" s="24"/>
      <c r="D120" s="23"/>
      <c r="E120" s="23"/>
      <c r="F120" s="23"/>
      <c r="G120" s="23"/>
      <c r="H120" s="44"/>
      <c r="I120" s="44"/>
      <c r="J120" s="23"/>
      <c r="K120" s="23"/>
      <c r="L120" s="23"/>
      <c r="M120" s="23"/>
      <c r="N120" s="23"/>
      <c r="O120" s="24"/>
      <c r="P120" s="24"/>
      <c r="Q120" s="23"/>
      <c r="R120" s="23"/>
      <c r="S120" s="23"/>
      <c r="T120" s="45"/>
      <c r="U120" s="45"/>
    </row>
    <row r="121" ht="15.75" customHeight="1">
      <c r="A121" s="42"/>
      <c r="B121" s="25"/>
      <c r="C121" s="26"/>
      <c r="D121" s="25"/>
      <c r="E121" s="25"/>
      <c r="F121" s="25"/>
      <c r="G121" s="25"/>
      <c r="H121" s="42"/>
      <c r="I121" s="42"/>
      <c r="J121" s="25"/>
      <c r="K121" s="25"/>
      <c r="L121" s="25"/>
      <c r="M121" s="25"/>
      <c r="N121" s="25"/>
      <c r="O121" s="26"/>
      <c r="P121" s="26"/>
      <c r="Q121" s="25"/>
      <c r="R121" s="25"/>
      <c r="S121" s="25"/>
      <c r="T121" s="43"/>
      <c r="U121" s="43"/>
    </row>
    <row r="122" ht="15.75" customHeight="1">
      <c r="A122" s="44"/>
      <c r="B122" s="23"/>
      <c r="C122" s="24"/>
      <c r="D122" s="23"/>
      <c r="E122" s="23"/>
      <c r="F122" s="23"/>
      <c r="G122" s="23"/>
      <c r="H122" s="44"/>
      <c r="I122" s="44"/>
      <c r="J122" s="23"/>
      <c r="K122" s="23"/>
      <c r="L122" s="23"/>
      <c r="M122" s="23"/>
      <c r="N122" s="23"/>
      <c r="O122" s="24"/>
      <c r="P122" s="24"/>
      <c r="Q122" s="23"/>
      <c r="R122" s="23"/>
      <c r="S122" s="23"/>
      <c r="T122" s="45"/>
      <c r="U122" s="45"/>
    </row>
    <row r="123" ht="15.75" customHeight="1">
      <c r="A123" s="42"/>
      <c r="B123" s="25"/>
      <c r="C123" s="26"/>
      <c r="D123" s="25"/>
      <c r="E123" s="25"/>
      <c r="F123" s="25"/>
      <c r="G123" s="25"/>
      <c r="H123" s="42"/>
      <c r="I123" s="42"/>
      <c r="J123" s="25"/>
      <c r="K123" s="25"/>
      <c r="L123" s="25"/>
      <c r="M123" s="25"/>
      <c r="N123" s="25"/>
      <c r="O123" s="26"/>
      <c r="P123" s="26"/>
      <c r="Q123" s="25"/>
      <c r="R123" s="25"/>
      <c r="S123" s="25"/>
      <c r="T123" s="43"/>
      <c r="U123" s="43"/>
    </row>
    <row r="124" ht="15.75" customHeight="1">
      <c r="A124" s="44"/>
      <c r="B124" s="23"/>
      <c r="C124" s="24"/>
      <c r="D124" s="23"/>
      <c r="E124" s="23"/>
      <c r="F124" s="23"/>
      <c r="G124" s="23"/>
      <c r="H124" s="44"/>
      <c r="I124" s="44"/>
      <c r="J124" s="23"/>
      <c r="K124" s="23"/>
      <c r="L124" s="23"/>
      <c r="M124" s="23"/>
      <c r="N124" s="23"/>
      <c r="O124" s="24"/>
      <c r="P124" s="24"/>
      <c r="Q124" s="23"/>
      <c r="R124" s="23"/>
      <c r="S124" s="23"/>
      <c r="T124" s="45"/>
      <c r="U124" s="45"/>
    </row>
    <row r="125" ht="15.75" customHeight="1">
      <c r="A125" s="42"/>
      <c r="B125" s="25"/>
      <c r="C125" s="26"/>
      <c r="D125" s="25"/>
      <c r="E125" s="25"/>
      <c r="F125" s="25"/>
      <c r="G125" s="25"/>
      <c r="H125" s="42"/>
      <c r="I125" s="42"/>
      <c r="J125" s="25"/>
      <c r="K125" s="25"/>
      <c r="L125" s="25"/>
      <c r="M125" s="25"/>
      <c r="N125" s="25"/>
      <c r="O125" s="26"/>
      <c r="P125" s="26"/>
      <c r="Q125" s="25"/>
      <c r="R125" s="25"/>
      <c r="S125" s="25"/>
      <c r="T125" s="43"/>
      <c r="U125" s="43"/>
    </row>
    <row r="126" ht="15.75" customHeight="1">
      <c r="A126" s="44"/>
      <c r="B126" s="23"/>
      <c r="C126" s="24"/>
      <c r="D126" s="23"/>
      <c r="E126" s="23"/>
      <c r="F126" s="23"/>
      <c r="G126" s="23"/>
      <c r="H126" s="44"/>
      <c r="I126" s="44"/>
      <c r="J126" s="23"/>
      <c r="K126" s="23"/>
      <c r="L126" s="23"/>
      <c r="M126" s="23"/>
      <c r="N126" s="23"/>
      <c r="O126" s="24"/>
      <c r="P126" s="24"/>
      <c r="Q126" s="23"/>
      <c r="R126" s="23"/>
      <c r="S126" s="23"/>
      <c r="T126" s="45"/>
      <c r="U126" s="45"/>
    </row>
    <row r="127" ht="15.75" customHeight="1">
      <c r="A127" s="42"/>
      <c r="B127" s="25"/>
      <c r="C127" s="26"/>
      <c r="D127" s="25"/>
      <c r="E127" s="25"/>
      <c r="F127" s="25"/>
      <c r="G127" s="25"/>
      <c r="H127" s="42"/>
      <c r="I127" s="42"/>
      <c r="J127" s="25"/>
      <c r="K127" s="25"/>
      <c r="L127" s="25"/>
      <c r="M127" s="25"/>
      <c r="N127" s="25"/>
      <c r="O127" s="26"/>
      <c r="P127" s="26"/>
      <c r="Q127" s="25"/>
      <c r="R127" s="25"/>
      <c r="S127" s="25"/>
      <c r="T127" s="43"/>
      <c r="U127" s="43"/>
    </row>
    <row r="128" ht="15.75" customHeight="1">
      <c r="A128" s="44"/>
      <c r="B128" s="23"/>
      <c r="C128" s="24"/>
      <c r="D128" s="23"/>
      <c r="E128" s="23"/>
      <c r="F128" s="23"/>
      <c r="G128" s="23"/>
      <c r="H128" s="44"/>
      <c r="I128" s="44"/>
      <c r="J128" s="23"/>
      <c r="K128" s="23"/>
      <c r="L128" s="23"/>
      <c r="M128" s="23"/>
      <c r="N128" s="23"/>
      <c r="O128" s="24"/>
      <c r="P128" s="24"/>
      <c r="Q128" s="23"/>
      <c r="R128" s="23"/>
      <c r="S128" s="23"/>
      <c r="T128" s="45"/>
      <c r="U128" s="45"/>
    </row>
    <row r="129" ht="15.75" customHeight="1">
      <c r="A129" s="42"/>
      <c r="B129" s="25"/>
      <c r="C129" s="26"/>
      <c r="D129" s="25"/>
      <c r="E129" s="25"/>
      <c r="F129" s="25"/>
      <c r="G129" s="25"/>
      <c r="H129" s="42"/>
      <c r="I129" s="42"/>
      <c r="J129" s="25"/>
      <c r="K129" s="25"/>
      <c r="L129" s="25"/>
      <c r="M129" s="25"/>
      <c r="N129" s="25"/>
      <c r="O129" s="26"/>
      <c r="P129" s="26"/>
      <c r="Q129" s="25"/>
      <c r="R129" s="25"/>
      <c r="S129" s="25"/>
      <c r="T129" s="43"/>
      <c r="U129" s="43"/>
    </row>
    <row r="130" ht="15.75" customHeight="1">
      <c r="A130" s="44"/>
      <c r="B130" s="23"/>
      <c r="C130" s="24"/>
      <c r="D130" s="23"/>
      <c r="E130" s="23"/>
      <c r="F130" s="23"/>
      <c r="G130" s="23"/>
      <c r="H130" s="44"/>
      <c r="I130" s="44"/>
      <c r="J130" s="23"/>
      <c r="K130" s="23"/>
      <c r="L130" s="23"/>
      <c r="M130" s="23"/>
      <c r="N130" s="23"/>
      <c r="O130" s="24"/>
      <c r="P130" s="24"/>
      <c r="Q130" s="23"/>
      <c r="R130" s="23"/>
      <c r="S130" s="23"/>
      <c r="T130" s="45"/>
      <c r="U130" s="45"/>
    </row>
    <row r="131" ht="15.75" customHeight="1">
      <c r="A131" s="42"/>
      <c r="B131" s="25"/>
      <c r="C131" s="26"/>
      <c r="D131" s="25"/>
      <c r="E131" s="25"/>
      <c r="F131" s="25"/>
      <c r="G131" s="25"/>
      <c r="H131" s="42"/>
      <c r="I131" s="42"/>
      <c r="J131" s="25"/>
      <c r="K131" s="25"/>
      <c r="L131" s="25"/>
      <c r="M131" s="25"/>
      <c r="N131" s="25"/>
      <c r="O131" s="26"/>
      <c r="P131" s="26"/>
      <c r="Q131" s="25"/>
      <c r="R131" s="25"/>
      <c r="S131" s="25"/>
      <c r="T131" s="43"/>
      <c r="U131" s="43"/>
    </row>
    <row r="132" ht="15.75" customHeight="1">
      <c r="A132" s="44"/>
      <c r="B132" s="23"/>
      <c r="C132" s="24"/>
      <c r="D132" s="23"/>
      <c r="E132" s="23"/>
      <c r="F132" s="23"/>
      <c r="G132" s="23"/>
      <c r="H132" s="44"/>
      <c r="I132" s="44"/>
      <c r="J132" s="23"/>
      <c r="K132" s="23"/>
      <c r="L132" s="23"/>
      <c r="M132" s="23"/>
      <c r="N132" s="23"/>
      <c r="O132" s="24"/>
      <c r="P132" s="24"/>
      <c r="Q132" s="23"/>
      <c r="R132" s="23"/>
      <c r="S132" s="23"/>
      <c r="T132" s="45"/>
      <c r="U132" s="45"/>
    </row>
    <row r="133" ht="15.75" customHeight="1">
      <c r="A133" s="42"/>
      <c r="B133" s="25"/>
      <c r="C133" s="26"/>
      <c r="D133" s="25"/>
      <c r="E133" s="25"/>
      <c r="F133" s="25"/>
      <c r="G133" s="25"/>
      <c r="H133" s="42"/>
      <c r="I133" s="42"/>
      <c r="J133" s="25"/>
      <c r="K133" s="25"/>
      <c r="L133" s="25"/>
      <c r="M133" s="25"/>
      <c r="N133" s="25"/>
      <c r="O133" s="26"/>
      <c r="P133" s="26"/>
      <c r="Q133" s="25"/>
      <c r="R133" s="25"/>
      <c r="S133" s="25"/>
      <c r="T133" s="43"/>
      <c r="U133" s="43"/>
    </row>
    <row r="134" ht="15.75" customHeight="1">
      <c r="A134" s="44"/>
      <c r="B134" s="23"/>
      <c r="C134" s="24"/>
      <c r="D134" s="23"/>
      <c r="E134" s="23"/>
      <c r="F134" s="23"/>
      <c r="G134" s="23"/>
      <c r="H134" s="44"/>
      <c r="I134" s="44"/>
      <c r="J134" s="23"/>
      <c r="K134" s="23"/>
      <c r="L134" s="23"/>
      <c r="M134" s="23"/>
      <c r="N134" s="23"/>
      <c r="O134" s="24"/>
      <c r="P134" s="24"/>
      <c r="Q134" s="23"/>
      <c r="R134" s="23"/>
      <c r="S134" s="23"/>
      <c r="T134" s="45"/>
      <c r="U134" s="45"/>
    </row>
    <row r="135" ht="15.75" customHeight="1">
      <c r="A135" s="42"/>
      <c r="B135" s="25"/>
      <c r="C135" s="26"/>
      <c r="D135" s="25"/>
      <c r="E135" s="25"/>
      <c r="F135" s="25"/>
      <c r="G135" s="25"/>
      <c r="H135" s="42"/>
      <c r="I135" s="42"/>
      <c r="J135" s="25"/>
      <c r="K135" s="25"/>
      <c r="L135" s="25"/>
      <c r="M135" s="25"/>
      <c r="N135" s="25"/>
      <c r="O135" s="26"/>
      <c r="P135" s="26"/>
      <c r="Q135" s="25"/>
      <c r="R135" s="25"/>
      <c r="S135" s="25"/>
      <c r="T135" s="43"/>
      <c r="U135" s="43"/>
    </row>
    <row r="136" ht="15.75" customHeight="1">
      <c r="A136" s="44"/>
      <c r="B136" s="23"/>
      <c r="C136" s="24"/>
      <c r="D136" s="23"/>
      <c r="E136" s="23"/>
      <c r="F136" s="23"/>
      <c r="G136" s="23"/>
      <c r="H136" s="44"/>
      <c r="I136" s="44"/>
      <c r="J136" s="23"/>
      <c r="K136" s="23"/>
      <c r="L136" s="23"/>
      <c r="M136" s="23"/>
      <c r="N136" s="23"/>
      <c r="O136" s="24"/>
      <c r="P136" s="24"/>
      <c r="Q136" s="23"/>
      <c r="R136" s="23"/>
      <c r="S136" s="23"/>
      <c r="T136" s="45"/>
      <c r="U136" s="45"/>
    </row>
    <row r="137" ht="15.75" customHeight="1">
      <c r="A137" s="42"/>
      <c r="B137" s="25"/>
      <c r="C137" s="26"/>
      <c r="D137" s="25"/>
      <c r="E137" s="25"/>
      <c r="F137" s="25"/>
      <c r="G137" s="25"/>
      <c r="H137" s="42"/>
      <c r="I137" s="42"/>
      <c r="J137" s="25"/>
      <c r="K137" s="25"/>
      <c r="L137" s="25"/>
      <c r="M137" s="25"/>
      <c r="N137" s="25"/>
      <c r="O137" s="26"/>
      <c r="P137" s="26"/>
      <c r="Q137" s="25"/>
      <c r="R137" s="25"/>
      <c r="S137" s="25"/>
      <c r="T137" s="43"/>
      <c r="U137" s="43"/>
    </row>
    <row r="138" ht="15.75" customHeight="1">
      <c r="A138" s="44"/>
      <c r="B138" s="23"/>
      <c r="C138" s="24"/>
      <c r="D138" s="23"/>
      <c r="E138" s="23"/>
      <c r="F138" s="23"/>
      <c r="G138" s="23"/>
      <c r="H138" s="44"/>
      <c r="I138" s="44"/>
      <c r="J138" s="23"/>
      <c r="K138" s="23"/>
      <c r="L138" s="23"/>
      <c r="M138" s="23"/>
      <c r="N138" s="23"/>
      <c r="O138" s="24"/>
      <c r="P138" s="24"/>
      <c r="Q138" s="23"/>
      <c r="R138" s="23"/>
      <c r="S138" s="23"/>
      <c r="T138" s="45"/>
      <c r="U138" s="45"/>
    </row>
    <row r="139" ht="15.75" customHeight="1">
      <c r="A139" s="42"/>
      <c r="B139" s="25"/>
      <c r="C139" s="26"/>
      <c r="D139" s="25"/>
      <c r="E139" s="25"/>
      <c r="F139" s="25"/>
      <c r="G139" s="25"/>
      <c r="H139" s="42"/>
      <c r="I139" s="42"/>
      <c r="J139" s="25"/>
      <c r="K139" s="25"/>
      <c r="L139" s="25"/>
      <c r="M139" s="25"/>
      <c r="N139" s="25"/>
      <c r="O139" s="26"/>
      <c r="P139" s="26"/>
      <c r="Q139" s="25"/>
      <c r="R139" s="25"/>
      <c r="S139" s="25"/>
      <c r="T139" s="43"/>
      <c r="U139" s="43"/>
    </row>
    <row r="140" ht="15.75" customHeight="1">
      <c r="A140" s="44"/>
      <c r="B140" s="23"/>
      <c r="C140" s="24"/>
      <c r="D140" s="23"/>
      <c r="E140" s="23"/>
      <c r="F140" s="23"/>
      <c r="G140" s="23"/>
      <c r="H140" s="44"/>
      <c r="I140" s="44"/>
      <c r="J140" s="23"/>
      <c r="K140" s="23"/>
      <c r="L140" s="23"/>
      <c r="M140" s="23"/>
      <c r="N140" s="23"/>
      <c r="O140" s="24"/>
      <c r="P140" s="24"/>
      <c r="Q140" s="23"/>
      <c r="R140" s="23"/>
      <c r="S140" s="23"/>
      <c r="T140" s="45"/>
      <c r="U140" s="45"/>
    </row>
    <row r="141" ht="15.75" customHeight="1">
      <c r="A141" s="42"/>
      <c r="B141" s="25"/>
      <c r="C141" s="26"/>
      <c r="D141" s="25"/>
      <c r="E141" s="25"/>
      <c r="F141" s="25"/>
      <c r="G141" s="25"/>
      <c r="H141" s="42"/>
      <c r="I141" s="42"/>
      <c r="J141" s="25"/>
      <c r="K141" s="25"/>
      <c r="L141" s="25"/>
      <c r="M141" s="25"/>
      <c r="N141" s="25"/>
      <c r="O141" s="26"/>
      <c r="P141" s="26"/>
      <c r="Q141" s="25"/>
      <c r="R141" s="25"/>
      <c r="S141" s="25"/>
      <c r="T141" s="43"/>
      <c r="U141" s="43"/>
    </row>
    <row r="142" ht="15.75" customHeight="1">
      <c r="A142" s="44"/>
      <c r="B142" s="23"/>
      <c r="C142" s="24"/>
      <c r="D142" s="23"/>
      <c r="E142" s="23"/>
      <c r="F142" s="23"/>
      <c r="G142" s="23"/>
      <c r="H142" s="44"/>
      <c r="I142" s="44"/>
      <c r="J142" s="23"/>
      <c r="K142" s="23"/>
      <c r="L142" s="23"/>
      <c r="M142" s="23"/>
      <c r="N142" s="23"/>
      <c r="O142" s="24"/>
      <c r="P142" s="24"/>
      <c r="Q142" s="23"/>
      <c r="R142" s="23"/>
      <c r="S142" s="23"/>
      <c r="T142" s="45"/>
      <c r="U142" s="45"/>
    </row>
    <row r="143" ht="15.75" customHeight="1">
      <c r="A143" s="42"/>
      <c r="B143" s="25"/>
      <c r="C143" s="26"/>
      <c r="D143" s="25"/>
      <c r="E143" s="25"/>
      <c r="F143" s="25"/>
      <c r="G143" s="25"/>
      <c r="H143" s="42"/>
      <c r="I143" s="42"/>
      <c r="J143" s="25"/>
      <c r="K143" s="25"/>
      <c r="L143" s="25"/>
      <c r="M143" s="25"/>
      <c r="N143" s="25"/>
      <c r="O143" s="26"/>
      <c r="P143" s="26"/>
      <c r="Q143" s="25"/>
      <c r="R143" s="25"/>
      <c r="S143" s="25"/>
      <c r="T143" s="43"/>
      <c r="U143" s="43"/>
    </row>
    <row r="144" ht="15.75" customHeight="1">
      <c r="A144" s="44"/>
      <c r="B144" s="23"/>
      <c r="C144" s="24"/>
      <c r="D144" s="23"/>
      <c r="E144" s="23"/>
      <c r="F144" s="23"/>
      <c r="G144" s="23"/>
      <c r="H144" s="44"/>
      <c r="I144" s="44"/>
      <c r="J144" s="23"/>
      <c r="K144" s="23"/>
      <c r="L144" s="23"/>
      <c r="M144" s="23"/>
      <c r="N144" s="23"/>
      <c r="O144" s="24"/>
      <c r="P144" s="24"/>
      <c r="Q144" s="23"/>
      <c r="R144" s="23"/>
      <c r="S144" s="23"/>
      <c r="T144" s="45"/>
      <c r="U144" s="45"/>
    </row>
    <row r="145" ht="15.75" customHeight="1">
      <c r="A145" s="42"/>
      <c r="B145" s="25"/>
      <c r="C145" s="26"/>
      <c r="D145" s="25"/>
      <c r="E145" s="25"/>
      <c r="F145" s="25"/>
      <c r="G145" s="25"/>
      <c r="H145" s="42"/>
      <c r="I145" s="42"/>
      <c r="J145" s="25"/>
      <c r="K145" s="25"/>
      <c r="L145" s="25"/>
      <c r="M145" s="25"/>
      <c r="N145" s="25"/>
      <c r="O145" s="26"/>
      <c r="P145" s="26"/>
      <c r="Q145" s="25"/>
      <c r="R145" s="25"/>
      <c r="S145" s="25"/>
      <c r="T145" s="43"/>
      <c r="U145" s="43"/>
    </row>
    <row r="146" ht="15.75" customHeight="1">
      <c r="A146" s="44"/>
      <c r="B146" s="23"/>
      <c r="C146" s="24"/>
      <c r="D146" s="23"/>
      <c r="E146" s="23"/>
      <c r="F146" s="23"/>
      <c r="G146" s="23"/>
      <c r="H146" s="44"/>
      <c r="I146" s="44"/>
      <c r="J146" s="23"/>
      <c r="K146" s="23"/>
      <c r="L146" s="23"/>
      <c r="M146" s="23"/>
      <c r="N146" s="23"/>
      <c r="O146" s="24"/>
      <c r="P146" s="24"/>
      <c r="Q146" s="23"/>
      <c r="R146" s="23"/>
      <c r="S146" s="23"/>
      <c r="T146" s="45"/>
      <c r="U146" s="45"/>
    </row>
    <row r="147" ht="15.75" customHeight="1">
      <c r="A147" s="42"/>
      <c r="B147" s="25"/>
      <c r="C147" s="26"/>
      <c r="D147" s="25"/>
      <c r="E147" s="25"/>
      <c r="F147" s="25"/>
      <c r="G147" s="25"/>
      <c r="H147" s="42"/>
      <c r="I147" s="42"/>
      <c r="J147" s="25"/>
      <c r="K147" s="25"/>
      <c r="L147" s="25"/>
      <c r="M147" s="25"/>
      <c r="N147" s="25"/>
      <c r="O147" s="26"/>
      <c r="P147" s="26"/>
      <c r="Q147" s="25"/>
      <c r="R147" s="25"/>
      <c r="S147" s="25"/>
      <c r="T147" s="43"/>
      <c r="U147" s="43"/>
    </row>
    <row r="148" ht="15.75" customHeight="1">
      <c r="A148" s="44"/>
      <c r="B148" s="23"/>
      <c r="C148" s="24"/>
      <c r="D148" s="23"/>
      <c r="E148" s="23"/>
      <c r="F148" s="23"/>
      <c r="G148" s="23"/>
      <c r="H148" s="44"/>
      <c r="I148" s="44"/>
      <c r="J148" s="23"/>
      <c r="K148" s="23"/>
      <c r="L148" s="23"/>
      <c r="M148" s="23"/>
      <c r="N148" s="23"/>
      <c r="O148" s="24"/>
      <c r="P148" s="24"/>
      <c r="Q148" s="23"/>
      <c r="R148" s="23"/>
      <c r="S148" s="23"/>
      <c r="T148" s="45"/>
      <c r="U148" s="45"/>
    </row>
    <row r="149" ht="15.75" customHeight="1">
      <c r="A149" s="42"/>
      <c r="B149" s="25"/>
      <c r="C149" s="26"/>
      <c r="D149" s="25"/>
      <c r="E149" s="25"/>
      <c r="F149" s="25"/>
      <c r="G149" s="25"/>
      <c r="H149" s="42"/>
      <c r="I149" s="42"/>
      <c r="J149" s="25"/>
      <c r="K149" s="25"/>
      <c r="L149" s="25"/>
      <c r="M149" s="25"/>
      <c r="N149" s="25"/>
      <c r="O149" s="26"/>
      <c r="P149" s="26"/>
      <c r="Q149" s="25"/>
      <c r="R149" s="25"/>
      <c r="S149" s="25"/>
      <c r="T149" s="43"/>
      <c r="U149" s="43"/>
    </row>
    <row r="150" ht="15.75" customHeight="1">
      <c r="A150" s="44"/>
      <c r="B150" s="23"/>
      <c r="C150" s="24"/>
      <c r="D150" s="23"/>
      <c r="E150" s="23"/>
      <c r="F150" s="23"/>
      <c r="G150" s="23"/>
      <c r="H150" s="44"/>
      <c r="I150" s="44"/>
      <c r="J150" s="23"/>
      <c r="K150" s="23"/>
      <c r="L150" s="23"/>
      <c r="M150" s="23"/>
      <c r="N150" s="23"/>
      <c r="O150" s="24"/>
      <c r="P150" s="24"/>
      <c r="Q150" s="23"/>
      <c r="R150" s="23"/>
      <c r="S150" s="23"/>
      <c r="T150" s="45"/>
      <c r="U150" s="45"/>
    </row>
    <row r="151" ht="15.75" customHeight="1">
      <c r="A151" s="42"/>
      <c r="B151" s="25"/>
      <c r="C151" s="26"/>
      <c r="D151" s="25"/>
      <c r="E151" s="25"/>
      <c r="F151" s="25"/>
      <c r="G151" s="25"/>
      <c r="H151" s="42"/>
      <c r="I151" s="42"/>
      <c r="J151" s="25"/>
      <c r="K151" s="25"/>
      <c r="L151" s="25"/>
      <c r="M151" s="25"/>
      <c r="N151" s="25"/>
      <c r="O151" s="26"/>
      <c r="P151" s="26"/>
      <c r="Q151" s="25"/>
      <c r="R151" s="25"/>
      <c r="S151" s="25"/>
      <c r="T151" s="43"/>
      <c r="U151" s="43"/>
    </row>
    <row r="152" ht="15.75" customHeight="1">
      <c r="A152" s="44"/>
      <c r="B152" s="23"/>
      <c r="C152" s="24"/>
      <c r="D152" s="23"/>
      <c r="E152" s="23"/>
      <c r="F152" s="23"/>
      <c r="G152" s="23"/>
      <c r="H152" s="44"/>
      <c r="I152" s="44"/>
      <c r="J152" s="23"/>
      <c r="K152" s="23"/>
      <c r="L152" s="23"/>
      <c r="M152" s="23"/>
      <c r="N152" s="23"/>
      <c r="O152" s="24"/>
      <c r="P152" s="24"/>
      <c r="Q152" s="23"/>
      <c r="R152" s="23"/>
      <c r="S152" s="23"/>
      <c r="T152" s="45"/>
      <c r="U152" s="45"/>
    </row>
    <row r="153" ht="15.75" customHeight="1">
      <c r="A153" s="42"/>
      <c r="B153" s="25"/>
      <c r="C153" s="26"/>
      <c r="D153" s="25"/>
      <c r="E153" s="25"/>
      <c r="F153" s="25"/>
      <c r="G153" s="25"/>
      <c r="H153" s="42"/>
      <c r="I153" s="42"/>
      <c r="J153" s="25"/>
      <c r="K153" s="25"/>
      <c r="L153" s="25"/>
      <c r="M153" s="25"/>
      <c r="N153" s="25"/>
      <c r="O153" s="26"/>
      <c r="P153" s="26"/>
      <c r="Q153" s="25"/>
      <c r="R153" s="25"/>
      <c r="S153" s="25"/>
      <c r="T153" s="43"/>
      <c r="U153" s="43"/>
    </row>
    <row r="154" ht="15.75" customHeight="1">
      <c r="A154" s="44"/>
      <c r="B154" s="23"/>
      <c r="C154" s="24"/>
      <c r="D154" s="23"/>
      <c r="E154" s="23"/>
      <c r="F154" s="23"/>
      <c r="G154" s="23"/>
      <c r="H154" s="44"/>
      <c r="I154" s="44"/>
      <c r="J154" s="23"/>
      <c r="K154" s="23"/>
      <c r="L154" s="23"/>
      <c r="M154" s="23"/>
      <c r="N154" s="23"/>
      <c r="O154" s="24"/>
      <c r="P154" s="24"/>
      <c r="Q154" s="23"/>
      <c r="R154" s="23"/>
      <c r="S154" s="23"/>
      <c r="T154" s="45"/>
      <c r="U154" s="45"/>
    </row>
    <row r="155" ht="15.75" customHeight="1">
      <c r="A155" s="42"/>
      <c r="B155" s="25"/>
      <c r="C155" s="26"/>
      <c r="D155" s="25"/>
      <c r="E155" s="25"/>
      <c r="F155" s="25"/>
      <c r="G155" s="25"/>
      <c r="H155" s="42"/>
      <c r="I155" s="42"/>
      <c r="J155" s="25"/>
      <c r="K155" s="25"/>
      <c r="L155" s="25"/>
      <c r="M155" s="25"/>
      <c r="N155" s="25"/>
      <c r="O155" s="26"/>
      <c r="P155" s="26"/>
      <c r="Q155" s="25"/>
      <c r="R155" s="25"/>
      <c r="S155" s="25"/>
      <c r="T155" s="43"/>
      <c r="U155" s="43"/>
    </row>
    <row r="156" ht="15.75" customHeight="1">
      <c r="A156" s="44"/>
      <c r="B156" s="23"/>
      <c r="C156" s="24"/>
      <c r="D156" s="23"/>
      <c r="E156" s="23"/>
      <c r="F156" s="23"/>
      <c r="G156" s="23"/>
      <c r="H156" s="44"/>
      <c r="I156" s="44"/>
      <c r="J156" s="23"/>
      <c r="K156" s="23"/>
      <c r="L156" s="23"/>
      <c r="M156" s="23"/>
      <c r="N156" s="23"/>
      <c r="O156" s="24"/>
      <c r="P156" s="24"/>
      <c r="Q156" s="23"/>
      <c r="R156" s="23"/>
      <c r="S156" s="23"/>
      <c r="T156" s="45"/>
      <c r="U156" s="45"/>
    </row>
    <row r="157" ht="15.75" customHeight="1">
      <c r="A157" s="42"/>
      <c r="B157" s="25"/>
      <c r="C157" s="26"/>
      <c r="D157" s="25"/>
      <c r="E157" s="25"/>
      <c r="F157" s="25"/>
      <c r="G157" s="25"/>
      <c r="H157" s="42"/>
      <c r="I157" s="42"/>
      <c r="J157" s="25"/>
      <c r="K157" s="25"/>
      <c r="L157" s="25"/>
      <c r="M157" s="25"/>
      <c r="N157" s="25"/>
      <c r="O157" s="26"/>
      <c r="P157" s="26"/>
      <c r="Q157" s="25"/>
      <c r="R157" s="25"/>
      <c r="S157" s="25"/>
      <c r="T157" s="43"/>
      <c r="U157" s="43"/>
    </row>
    <row r="158" ht="15.75" customHeight="1">
      <c r="A158" s="44"/>
      <c r="B158" s="23"/>
      <c r="C158" s="24"/>
      <c r="D158" s="23"/>
      <c r="E158" s="23"/>
      <c r="F158" s="23"/>
      <c r="G158" s="23"/>
      <c r="H158" s="44"/>
      <c r="I158" s="44"/>
      <c r="J158" s="23"/>
      <c r="K158" s="23"/>
      <c r="L158" s="23"/>
      <c r="M158" s="23"/>
      <c r="N158" s="23"/>
      <c r="O158" s="24"/>
      <c r="P158" s="24"/>
      <c r="Q158" s="23"/>
      <c r="R158" s="23"/>
      <c r="S158" s="23"/>
      <c r="T158" s="45"/>
      <c r="U158" s="45"/>
    </row>
    <row r="159" ht="15.75" customHeight="1">
      <c r="A159" s="42"/>
      <c r="B159" s="25"/>
      <c r="C159" s="26"/>
      <c r="D159" s="25"/>
      <c r="E159" s="25"/>
      <c r="F159" s="25"/>
      <c r="G159" s="25"/>
      <c r="H159" s="42"/>
      <c r="I159" s="42"/>
      <c r="J159" s="25"/>
      <c r="K159" s="25"/>
      <c r="L159" s="25"/>
      <c r="M159" s="25"/>
      <c r="N159" s="25"/>
      <c r="O159" s="26"/>
      <c r="P159" s="26"/>
      <c r="Q159" s="25"/>
      <c r="R159" s="25"/>
      <c r="S159" s="25"/>
      <c r="T159" s="43"/>
      <c r="U159" s="43"/>
    </row>
    <row r="160" ht="15.75" customHeight="1">
      <c r="A160" s="44"/>
      <c r="B160" s="23"/>
      <c r="C160" s="24"/>
      <c r="D160" s="23"/>
      <c r="E160" s="23"/>
      <c r="F160" s="23"/>
      <c r="G160" s="23"/>
      <c r="H160" s="44"/>
      <c r="I160" s="44"/>
      <c r="J160" s="23"/>
      <c r="K160" s="23"/>
      <c r="L160" s="23"/>
      <c r="M160" s="23"/>
      <c r="N160" s="23"/>
      <c r="O160" s="24"/>
      <c r="P160" s="24"/>
      <c r="Q160" s="23"/>
      <c r="R160" s="23"/>
      <c r="S160" s="23"/>
      <c r="T160" s="45"/>
      <c r="U160" s="45"/>
    </row>
    <row r="161" ht="15.75" customHeight="1">
      <c r="A161" s="42"/>
      <c r="B161" s="25"/>
      <c r="C161" s="26"/>
      <c r="D161" s="25"/>
      <c r="E161" s="25"/>
      <c r="F161" s="25"/>
      <c r="G161" s="25"/>
      <c r="H161" s="42"/>
      <c r="I161" s="42"/>
      <c r="J161" s="25"/>
      <c r="K161" s="25"/>
      <c r="L161" s="25"/>
      <c r="M161" s="25"/>
      <c r="N161" s="25"/>
      <c r="O161" s="26"/>
      <c r="P161" s="26"/>
      <c r="Q161" s="25"/>
      <c r="R161" s="25"/>
      <c r="S161" s="25"/>
      <c r="T161" s="43"/>
      <c r="U161" s="43"/>
    </row>
    <row r="162" ht="15.75" customHeight="1">
      <c r="A162" s="44"/>
      <c r="B162" s="23"/>
      <c r="C162" s="24"/>
      <c r="D162" s="23"/>
      <c r="E162" s="23"/>
      <c r="F162" s="23"/>
      <c r="G162" s="23"/>
      <c r="H162" s="44"/>
      <c r="I162" s="44"/>
      <c r="J162" s="23"/>
      <c r="K162" s="23"/>
      <c r="L162" s="23"/>
      <c r="M162" s="23"/>
      <c r="N162" s="23"/>
      <c r="O162" s="24"/>
      <c r="P162" s="24"/>
      <c r="Q162" s="23"/>
      <c r="R162" s="23"/>
      <c r="S162" s="23"/>
      <c r="T162" s="45"/>
      <c r="U162" s="45"/>
    </row>
    <row r="163" ht="15.75" customHeight="1">
      <c r="A163" s="42"/>
      <c r="B163" s="25"/>
      <c r="C163" s="26"/>
      <c r="D163" s="25"/>
      <c r="E163" s="25"/>
      <c r="F163" s="25"/>
      <c r="G163" s="25"/>
      <c r="H163" s="42"/>
      <c r="I163" s="42"/>
      <c r="J163" s="25"/>
      <c r="K163" s="25"/>
      <c r="L163" s="25"/>
      <c r="M163" s="25"/>
      <c r="N163" s="25"/>
      <c r="O163" s="26"/>
      <c r="P163" s="26"/>
      <c r="Q163" s="25"/>
      <c r="R163" s="25"/>
      <c r="S163" s="25"/>
      <c r="T163" s="43"/>
      <c r="U163" s="43"/>
    </row>
    <row r="164" ht="15.75" customHeight="1">
      <c r="A164" s="44"/>
      <c r="B164" s="23"/>
      <c r="C164" s="24"/>
      <c r="D164" s="23"/>
      <c r="E164" s="23"/>
      <c r="F164" s="23"/>
      <c r="G164" s="23"/>
      <c r="H164" s="44"/>
      <c r="I164" s="44"/>
      <c r="J164" s="23"/>
      <c r="K164" s="23"/>
      <c r="L164" s="23"/>
      <c r="M164" s="23"/>
      <c r="N164" s="23"/>
      <c r="O164" s="24"/>
      <c r="P164" s="24"/>
      <c r="Q164" s="23"/>
      <c r="R164" s="23"/>
      <c r="S164" s="23"/>
      <c r="T164" s="45"/>
      <c r="U164" s="45"/>
    </row>
    <row r="165" ht="15.75" customHeight="1">
      <c r="A165" s="42"/>
      <c r="B165" s="25"/>
      <c r="C165" s="26"/>
      <c r="D165" s="25"/>
      <c r="E165" s="25"/>
      <c r="F165" s="25"/>
      <c r="G165" s="25"/>
      <c r="H165" s="42"/>
      <c r="I165" s="42"/>
      <c r="J165" s="25"/>
      <c r="K165" s="25"/>
      <c r="L165" s="25"/>
      <c r="M165" s="25"/>
      <c r="N165" s="25"/>
      <c r="O165" s="26"/>
      <c r="P165" s="26"/>
      <c r="Q165" s="25"/>
      <c r="R165" s="25"/>
      <c r="S165" s="25"/>
      <c r="T165" s="43"/>
      <c r="U165" s="43"/>
    </row>
    <row r="166" ht="15.75" customHeight="1">
      <c r="A166" s="44"/>
      <c r="B166" s="23"/>
      <c r="C166" s="24"/>
      <c r="D166" s="23"/>
      <c r="E166" s="23"/>
      <c r="F166" s="23"/>
      <c r="G166" s="23"/>
      <c r="H166" s="44"/>
      <c r="I166" s="44"/>
      <c r="J166" s="23"/>
      <c r="K166" s="23"/>
      <c r="L166" s="23"/>
      <c r="M166" s="23"/>
      <c r="N166" s="23"/>
      <c r="O166" s="24"/>
      <c r="P166" s="24"/>
      <c r="Q166" s="23"/>
      <c r="R166" s="23"/>
      <c r="S166" s="23"/>
      <c r="T166" s="45"/>
      <c r="U166" s="45"/>
    </row>
    <row r="167" ht="15.75" customHeight="1">
      <c r="A167" s="42"/>
      <c r="B167" s="25"/>
      <c r="C167" s="26"/>
      <c r="D167" s="25"/>
      <c r="E167" s="25"/>
      <c r="F167" s="25"/>
      <c r="G167" s="25"/>
      <c r="H167" s="42"/>
      <c r="I167" s="42"/>
      <c r="J167" s="25"/>
      <c r="K167" s="25"/>
      <c r="L167" s="25"/>
      <c r="M167" s="25"/>
      <c r="N167" s="25"/>
      <c r="O167" s="26"/>
      <c r="P167" s="26"/>
      <c r="Q167" s="25"/>
      <c r="R167" s="25"/>
      <c r="S167" s="25"/>
      <c r="T167" s="43"/>
      <c r="U167" s="43"/>
    </row>
    <row r="168" ht="15.75" customHeight="1">
      <c r="A168" s="44"/>
      <c r="B168" s="23"/>
      <c r="C168" s="24"/>
      <c r="D168" s="23"/>
      <c r="E168" s="23"/>
      <c r="F168" s="23"/>
      <c r="G168" s="23"/>
      <c r="H168" s="44"/>
      <c r="I168" s="44"/>
      <c r="J168" s="23"/>
      <c r="K168" s="23"/>
      <c r="L168" s="23"/>
      <c r="M168" s="23"/>
      <c r="N168" s="23"/>
      <c r="O168" s="24"/>
      <c r="P168" s="24"/>
      <c r="Q168" s="23"/>
      <c r="R168" s="23"/>
      <c r="S168" s="23"/>
      <c r="T168" s="45"/>
      <c r="U168" s="45"/>
    </row>
    <row r="169" ht="15.75" customHeight="1">
      <c r="A169" s="42"/>
      <c r="B169" s="25"/>
      <c r="C169" s="26"/>
      <c r="D169" s="25"/>
      <c r="E169" s="25"/>
      <c r="F169" s="25"/>
      <c r="G169" s="25"/>
      <c r="H169" s="42"/>
      <c r="I169" s="42"/>
      <c r="J169" s="25"/>
      <c r="K169" s="25"/>
      <c r="L169" s="25"/>
      <c r="M169" s="25"/>
      <c r="N169" s="25"/>
      <c r="O169" s="26"/>
      <c r="P169" s="26"/>
      <c r="Q169" s="25"/>
      <c r="R169" s="25"/>
      <c r="S169" s="25"/>
      <c r="T169" s="43"/>
      <c r="U169" s="43"/>
    </row>
    <row r="170" ht="15.75" customHeight="1">
      <c r="A170" s="44"/>
      <c r="B170" s="23"/>
      <c r="C170" s="24"/>
      <c r="D170" s="23"/>
      <c r="E170" s="23"/>
      <c r="F170" s="23"/>
      <c r="G170" s="23"/>
      <c r="H170" s="44"/>
      <c r="I170" s="44"/>
      <c r="J170" s="23"/>
      <c r="K170" s="23"/>
      <c r="L170" s="23"/>
      <c r="M170" s="23"/>
      <c r="N170" s="23"/>
      <c r="O170" s="24"/>
      <c r="P170" s="24"/>
      <c r="Q170" s="23"/>
      <c r="R170" s="23"/>
      <c r="S170" s="23"/>
      <c r="T170" s="45"/>
      <c r="U170" s="45"/>
    </row>
    <row r="171" ht="15.75" customHeight="1">
      <c r="A171" s="42"/>
      <c r="B171" s="25"/>
      <c r="C171" s="26"/>
      <c r="D171" s="25"/>
      <c r="E171" s="25"/>
      <c r="F171" s="25"/>
      <c r="G171" s="25"/>
      <c r="H171" s="42"/>
      <c r="I171" s="42"/>
      <c r="J171" s="25"/>
      <c r="K171" s="25"/>
      <c r="L171" s="25"/>
      <c r="M171" s="25"/>
      <c r="N171" s="25"/>
      <c r="O171" s="26"/>
      <c r="P171" s="26"/>
      <c r="Q171" s="25"/>
      <c r="R171" s="25"/>
      <c r="S171" s="25"/>
      <c r="T171" s="43"/>
      <c r="U171" s="43"/>
    </row>
    <row r="172" ht="15.75" customHeight="1">
      <c r="A172" s="44"/>
      <c r="B172" s="23"/>
      <c r="C172" s="24"/>
      <c r="D172" s="23"/>
      <c r="E172" s="23"/>
      <c r="F172" s="23"/>
      <c r="G172" s="23"/>
      <c r="H172" s="44"/>
      <c r="I172" s="44"/>
      <c r="J172" s="23"/>
      <c r="K172" s="23"/>
      <c r="L172" s="23"/>
      <c r="M172" s="23"/>
      <c r="N172" s="23"/>
      <c r="O172" s="24"/>
      <c r="P172" s="24"/>
      <c r="Q172" s="23"/>
      <c r="R172" s="23"/>
      <c r="S172" s="23"/>
      <c r="T172" s="45"/>
      <c r="U172" s="45"/>
    </row>
    <row r="173" ht="15.75" customHeight="1">
      <c r="A173" s="42"/>
      <c r="B173" s="25"/>
      <c r="C173" s="26"/>
      <c r="D173" s="25"/>
      <c r="E173" s="25"/>
      <c r="F173" s="25"/>
      <c r="G173" s="25"/>
      <c r="H173" s="42"/>
      <c r="I173" s="42"/>
      <c r="J173" s="25"/>
      <c r="K173" s="25"/>
      <c r="L173" s="25"/>
      <c r="M173" s="25"/>
      <c r="N173" s="25"/>
      <c r="O173" s="26"/>
      <c r="P173" s="26"/>
      <c r="Q173" s="25"/>
      <c r="R173" s="25"/>
      <c r="S173" s="25"/>
      <c r="T173" s="43"/>
      <c r="U173" s="43"/>
    </row>
    <row r="174" ht="15.75" customHeight="1">
      <c r="A174" s="44"/>
      <c r="B174" s="23"/>
      <c r="C174" s="24"/>
      <c r="D174" s="23"/>
      <c r="E174" s="23"/>
      <c r="F174" s="23"/>
      <c r="G174" s="23"/>
      <c r="H174" s="44"/>
      <c r="I174" s="44"/>
      <c r="J174" s="23"/>
      <c r="K174" s="23"/>
      <c r="L174" s="23"/>
      <c r="M174" s="23"/>
      <c r="N174" s="23"/>
      <c r="O174" s="24"/>
      <c r="P174" s="24"/>
      <c r="Q174" s="23"/>
      <c r="R174" s="23"/>
      <c r="S174" s="23"/>
      <c r="T174" s="45"/>
      <c r="U174" s="45"/>
    </row>
    <row r="175" ht="15.75" customHeight="1">
      <c r="A175" s="42"/>
      <c r="B175" s="25"/>
      <c r="C175" s="26"/>
      <c r="D175" s="25"/>
      <c r="E175" s="25"/>
      <c r="F175" s="25"/>
      <c r="G175" s="25"/>
      <c r="H175" s="42"/>
      <c r="I175" s="42"/>
      <c r="J175" s="25"/>
      <c r="K175" s="25"/>
      <c r="L175" s="25"/>
      <c r="M175" s="25"/>
      <c r="N175" s="25"/>
      <c r="O175" s="26"/>
      <c r="P175" s="26"/>
      <c r="Q175" s="25"/>
      <c r="R175" s="25"/>
      <c r="S175" s="25"/>
      <c r="T175" s="43"/>
      <c r="U175" s="43"/>
    </row>
    <row r="176" ht="15.75" customHeight="1">
      <c r="A176" s="44"/>
      <c r="B176" s="23"/>
      <c r="C176" s="24"/>
      <c r="D176" s="23"/>
      <c r="E176" s="23"/>
      <c r="F176" s="23"/>
      <c r="G176" s="23"/>
      <c r="H176" s="44"/>
      <c r="I176" s="44"/>
      <c r="J176" s="23"/>
      <c r="K176" s="23"/>
      <c r="L176" s="23"/>
      <c r="M176" s="23"/>
      <c r="N176" s="23"/>
      <c r="O176" s="24"/>
      <c r="P176" s="24"/>
      <c r="Q176" s="23"/>
      <c r="R176" s="23"/>
      <c r="S176" s="23"/>
      <c r="T176" s="45"/>
      <c r="U176" s="45"/>
    </row>
    <row r="177" ht="15.75" customHeight="1">
      <c r="A177" s="42"/>
      <c r="B177" s="25"/>
      <c r="C177" s="26"/>
      <c r="D177" s="25"/>
      <c r="E177" s="25"/>
      <c r="F177" s="25"/>
      <c r="G177" s="25"/>
      <c r="H177" s="42"/>
      <c r="I177" s="42"/>
      <c r="J177" s="25"/>
      <c r="K177" s="25"/>
      <c r="L177" s="25"/>
      <c r="M177" s="25"/>
      <c r="N177" s="25"/>
      <c r="O177" s="26"/>
      <c r="P177" s="26"/>
      <c r="Q177" s="25"/>
      <c r="R177" s="25"/>
      <c r="S177" s="25"/>
      <c r="T177" s="43"/>
      <c r="U177" s="43"/>
    </row>
    <row r="178" ht="15.75" customHeight="1">
      <c r="A178" s="44"/>
      <c r="B178" s="23"/>
      <c r="C178" s="24"/>
      <c r="D178" s="23"/>
      <c r="E178" s="23"/>
      <c r="F178" s="23"/>
      <c r="G178" s="23"/>
      <c r="H178" s="44"/>
      <c r="I178" s="44"/>
      <c r="J178" s="23"/>
      <c r="K178" s="23"/>
      <c r="L178" s="23"/>
      <c r="M178" s="23"/>
      <c r="N178" s="23"/>
      <c r="O178" s="24"/>
      <c r="P178" s="24"/>
      <c r="Q178" s="23"/>
      <c r="R178" s="23"/>
      <c r="S178" s="23"/>
      <c r="T178" s="45"/>
      <c r="U178" s="45"/>
    </row>
    <row r="179" ht="15.75" customHeight="1">
      <c r="A179" s="42"/>
      <c r="B179" s="25"/>
      <c r="C179" s="26"/>
      <c r="D179" s="25"/>
      <c r="E179" s="25"/>
      <c r="F179" s="25"/>
      <c r="G179" s="25"/>
      <c r="H179" s="42"/>
      <c r="I179" s="42"/>
      <c r="J179" s="25"/>
      <c r="K179" s="25"/>
      <c r="L179" s="25"/>
      <c r="M179" s="25"/>
      <c r="N179" s="25"/>
      <c r="O179" s="26"/>
      <c r="P179" s="26"/>
      <c r="Q179" s="25"/>
      <c r="R179" s="25"/>
      <c r="S179" s="25"/>
      <c r="T179" s="43"/>
      <c r="U179" s="43"/>
    </row>
    <row r="180" ht="15.75" customHeight="1">
      <c r="A180" s="44"/>
      <c r="B180" s="23"/>
      <c r="C180" s="24"/>
      <c r="D180" s="23"/>
      <c r="E180" s="23"/>
      <c r="F180" s="23"/>
      <c r="G180" s="23"/>
      <c r="H180" s="44"/>
      <c r="I180" s="44"/>
      <c r="J180" s="23"/>
      <c r="K180" s="23"/>
      <c r="L180" s="23"/>
      <c r="M180" s="23"/>
      <c r="N180" s="23"/>
      <c r="O180" s="24"/>
      <c r="P180" s="24"/>
      <c r="Q180" s="23"/>
      <c r="R180" s="23"/>
      <c r="S180" s="23"/>
      <c r="T180" s="45"/>
      <c r="U180" s="45"/>
    </row>
    <row r="181" ht="15.75" customHeight="1">
      <c r="A181" s="42"/>
      <c r="B181" s="25"/>
      <c r="C181" s="26"/>
      <c r="D181" s="25"/>
      <c r="E181" s="25"/>
      <c r="F181" s="25"/>
      <c r="G181" s="25"/>
      <c r="H181" s="42"/>
      <c r="I181" s="42"/>
      <c r="J181" s="25"/>
      <c r="K181" s="25"/>
      <c r="L181" s="25"/>
      <c r="M181" s="25"/>
      <c r="N181" s="25"/>
      <c r="O181" s="26"/>
      <c r="P181" s="26"/>
      <c r="Q181" s="25"/>
      <c r="R181" s="25"/>
      <c r="S181" s="25"/>
      <c r="T181" s="43"/>
      <c r="U181" s="43"/>
    </row>
    <row r="182" ht="15.75" customHeight="1">
      <c r="A182" s="44"/>
      <c r="B182" s="23"/>
      <c r="C182" s="24"/>
      <c r="D182" s="23"/>
      <c r="E182" s="23"/>
      <c r="F182" s="23"/>
      <c r="G182" s="23"/>
      <c r="H182" s="44"/>
      <c r="I182" s="44"/>
      <c r="J182" s="23"/>
      <c r="K182" s="23"/>
      <c r="L182" s="23"/>
      <c r="M182" s="23"/>
      <c r="N182" s="23"/>
      <c r="O182" s="24"/>
      <c r="P182" s="24"/>
      <c r="Q182" s="23"/>
      <c r="R182" s="23"/>
      <c r="S182" s="23"/>
      <c r="T182" s="45"/>
      <c r="U182" s="45"/>
    </row>
    <row r="183" ht="15.75" customHeight="1">
      <c r="A183" s="42"/>
      <c r="B183" s="25"/>
      <c r="C183" s="26"/>
      <c r="D183" s="25"/>
      <c r="E183" s="25"/>
      <c r="F183" s="25"/>
      <c r="G183" s="25"/>
      <c r="H183" s="42"/>
      <c r="I183" s="42"/>
      <c r="J183" s="25"/>
      <c r="K183" s="25"/>
      <c r="L183" s="25"/>
      <c r="M183" s="25"/>
      <c r="N183" s="25"/>
      <c r="O183" s="26"/>
      <c r="P183" s="26"/>
      <c r="Q183" s="25"/>
      <c r="R183" s="25"/>
      <c r="S183" s="25"/>
      <c r="T183" s="43"/>
      <c r="U183" s="43"/>
    </row>
    <row r="184" ht="15.75" customHeight="1">
      <c r="A184" s="44"/>
      <c r="B184" s="23"/>
      <c r="C184" s="24"/>
      <c r="D184" s="23"/>
      <c r="E184" s="23"/>
      <c r="F184" s="23"/>
      <c r="G184" s="23"/>
      <c r="H184" s="44"/>
      <c r="I184" s="44"/>
      <c r="J184" s="23"/>
      <c r="K184" s="23"/>
      <c r="L184" s="23"/>
      <c r="M184" s="23"/>
      <c r="N184" s="23"/>
      <c r="O184" s="24"/>
      <c r="P184" s="24"/>
      <c r="Q184" s="23"/>
      <c r="R184" s="23"/>
      <c r="S184" s="23"/>
      <c r="T184" s="45"/>
      <c r="U184" s="45"/>
    </row>
    <row r="185" ht="15.75" customHeight="1">
      <c r="A185" s="42"/>
      <c r="B185" s="25"/>
      <c r="C185" s="26"/>
      <c r="D185" s="25"/>
      <c r="E185" s="25"/>
      <c r="F185" s="25"/>
      <c r="G185" s="25"/>
      <c r="H185" s="42"/>
      <c r="I185" s="42"/>
      <c r="J185" s="25"/>
      <c r="K185" s="25"/>
      <c r="L185" s="25"/>
      <c r="M185" s="25"/>
      <c r="N185" s="25"/>
      <c r="O185" s="26"/>
      <c r="P185" s="26"/>
      <c r="Q185" s="25"/>
      <c r="R185" s="25"/>
      <c r="S185" s="25"/>
      <c r="T185" s="43"/>
      <c r="U185" s="43"/>
    </row>
    <row r="186" ht="15.75" customHeight="1">
      <c r="A186" s="44"/>
      <c r="B186" s="23"/>
      <c r="C186" s="24"/>
      <c r="D186" s="23"/>
      <c r="E186" s="23"/>
      <c r="F186" s="23"/>
      <c r="G186" s="23"/>
      <c r="H186" s="44"/>
      <c r="I186" s="44"/>
      <c r="J186" s="23"/>
      <c r="K186" s="23"/>
      <c r="L186" s="23"/>
      <c r="M186" s="23"/>
      <c r="N186" s="23"/>
      <c r="O186" s="24"/>
      <c r="P186" s="24"/>
      <c r="Q186" s="23"/>
      <c r="R186" s="23"/>
      <c r="S186" s="23"/>
      <c r="T186" s="45"/>
      <c r="U186" s="45"/>
    </row>
    <row r="187" ht="15.75" customHeight="1">
      <c r="A187" s="42"/>
      <c r="B187" s="25"/>
      <c r="C187" s="26"/>
      <c r="D187" s="25"/>
      <c r="E187" s="25"/>
      <c r="F187" s="25"/>
      <c r="G187" s="25"/>
      <c r="H187" s="42"/>
      <c r="I187" s="42"/>
      <c r="J187" s="25"/>
      <c r="K187" s="25"/>
      <c r="L187" s="25"/>
      <c r="M187" s="25"/>
      <c r="N187" s="25"/>
      <c r="O187" s="26"/>
      <c r="P187" s="26"/>
      <c r="Q187" s="25"/>
      <c r="R187" s="25"/>
      <c r="S187" s="25"/>
      <c r="T187" s="43"/>
      <c r="U187" s="43"/>
    </row>
    <row r="188" ht="15.75" customHeight="1">
      <c r="A188" s="44"/>
      <c r="B188" s="23"/>
      <c r="C188" s="24"/>
      <c r="D188" s="23"/>
      <c r="E188" s="23"/>
      <c r="F188" s="23"/>
      <c r="G188" s="23"/>
      <c r="H188" s="44"/>
      <c r="I188" s="44"/>
      <c r="J188" s="23"/>
      <c r="K188" s="23"/>
      <c r="L188" s="23"/>
      <c r="M188" s="23"/>
      <c r="N188" s="23"/>
      <c r="O188" s="24"/>
      <c r="P188" s="24"/>
      <c r="Q188" s="23"/>
      <c r="R188" s="23"/>
      <c r="S188" s="23"/>
      <c r="T188" s="45"/>
      <c r="U188" s="45"/>
    </row>
    <row r="189" ht="15.75" customHeight="1">
      <c r="A189" s="42"/>
      <c r="B189" s="25"/>
      <c r="C189" s="26"/>
      <c r="D189" s="25"/>
      <c r="E189" s="25"/>
      <c r="F189" s="25"/>
      <c r="G189" s="25"/>
      <c r="H189" s="42"/>
      <c r="I189" s="42"/>
      <c r="J189" s="25"/>
      <c r="K189" s="25"/>
      <c r="L189" s="25"/>
      <c r="M189" s="25"/>
      <c r="N189" s="25"/>
      <c r="O189" s="26"/>
      <c r="P189" s="26"/>
      <c r="Q189" s="25"/>
      <c r="R189" s="25"/>
      <c r="S189" s="25"/>
      <c r="T189" s="43"/>
      <c r="U189" s="43"/>
    </row>
    <row r="190" ht="15.75" customHeight="1">
      <c r="A190" s="44"/>
      <c r="B190" s="23"/>
      <c r="C190" s="24"/>
      <c r="D190" s="23"/>
      <c r="E190" s="23"/>
      <c r="F190" s="23"/>
      <c r="G190" s="23"/>
      <c r="H190" s="44"/>
      <c r="I190" s="44"/>
      <c r="J190" s="23"/>
      <c r="K190" s="23"/>
      <c r="L190" s="23"/>
      <c r="M190" s="23"/>
      <c r="N190" s="23"/>
      <c r="O190" s="24"/>
      <c r="P190" s="24"/>
      <c r="Q190" s="23"/>
      <c r="R190" s="23"/>
      <c r="S190" s="23"/>
      <c r="T190" s="45"/>
      <c r="U190" s="45"/>
    </row>
    <row r="191" ht="15.75" customHeight="1">
      <c r="A191" s="42"/>
      <c r="B191" s="25"/>
      <c r="C191" s="26"/>
      <c r="D191" s="25"/>
      <c r="E191" s="25"/>
      <c r="F191" s="25"/>
      <c r="G191" s="25"/>
      <c r="H191" s="42"/>
      <c r="I191" s="42"/>
      <c r="J191" s="25"/>
      <c r="K191" s="25"/>
      <c r="L191" s="25"/>
      <c r="M191" s="25"/>
      <c r="N191" s="25"/>
      <c r="O191" s="26"/>
      <c r="P191" s="26"/>
      <c r="Q191" s="25"/>
      <c r="R191" s="25"/>
      <c r="S191" s="25"/>
      <c r="T191" s="43"/>
      <c r="U191" s="43"/>
    </row>
    <row r="192" ht="15.75" customHeight="1">
      <c r="A192" s="44"/>
      <c r="B192" s="23"/>
      <c r="C192" s="24"/>
      <c r="D192" s="23"/>
      <c r="E192" s="23"/>
      <c r="F192" s="23"/>
      <c r="G192" s="23"/>
      <c r="H192" s="44"/>
      <c r="I192" s="44"/>
      <c r="J192" s="23"/>
      <c r="K192" s="23"/>
      <c r="L192" s="23"/>
      <c r="M192" s="23"/>
      <c r="N192" s="23"/>
      <c r="O192" s="24"/>
      <c r="P192" s="24"/>
      <c r="Q192" s="23"/>
      <c r="R192" s="23"/>
      <c r="S192" s="23"/>
      <c r="T192" s="45"/>
      <c r="U192" s="45"/>
    </row>
    <row r="193" ht="15.75" customHeight="1">
      <c r="A193" s="42"/>
      <c r="B193" s="25"/>
      <c r="C193" s="26"/>
      <c r="D193" s="25"/>
      <c r="E193" s="25"/>
      <c r="F193" s="25"/>
      <c r="G193" s="25"/>
      <c r="H193" s="42"/>
      <c r="I193" s="42"/>
      <c r="J193" s="25"/>
      <c r="K193" s="25"/>
      <c r="L193" s="25"/>
      <c r="M193" s="25"/>
      <c r="N193" s="25"/>
      <c r="O193" s="26"/>
      <c r="P193" s="26"/>
      <c r="Q193" s="25"/>
      <c r="R193" s="25"/>
      <c r="S193" s="25"/>
      <c r="T193" s="43"/>
      <c r="U193" s="43"/>
    </row>
    <row r="194" ht="15.75" customHeight="1">
      <c r="A194" s="44"/>
      <c r="B194" s="23"/>
      <c r="C194" s="24"/>
      <c r="D194" s="23"/>
      <c r="E194" s="23"/>
      <c r="F194" s="23"/>
      <c r="G194" s="23"/>
      <c r="H194" s="44"/>
      <c r="I194" s="44"/>
      <c r="J194" s="23"/>
      <c r="K194" s="23"/>
      <c r="L194" s="23"/>
      <c r="M194" s="23"/>
      <c r="N194" s="23"/>
      <c r="O194" s="24"/>
      <c r="P194" s="24"/>
      <c r="Q194" s="23"/>
      <c r="R194" s="23"/>
      <c r="S194" s="23"/>
      <c r="T194" s="45"/>
      <c r="U194" s="45"/>
    </row>
    <row r="195" ht="15.75" customHeight="1">
      <c r="A195" s="42"/>
      <c r="B195" s="25"/>
      <c r="C195" s="26"/>
      <c r="D195" s="25"/>
      <c r="E195" s="25"/>
      <c r="F195" s="25"/>
      <c r="G195" s="25"/>
      <c r="H195" s="42"/>
      <c r="I195" s="42"/>
      <c r="J195" s="25"/>
      <c r="K195" s="25"/>
      <c r="L195" s="25"/>
      <c r="M195" s="25"/>
      <c r="N195" s="25"/>
      <c r="O195" s="26"/>
      <c r="P195" s="26"/>
      <c r="Q195" s="25"/>
      <c r="R195" s="25"/>
      <c r="S195" s="25"/>
      <c r="T195" s="43"/>
      <c r="U195" s="43"/>
    </row>
    <row r="196" ht="15.75" customHeight="1">
      <c r="A196" s="44"/>
      <c r="B196" s="23"/>
      <c r="C196" s="24"/>
      <c r="D196" s="23"/>
      <c r="E196" s="23"/>
      <c r="F196" s="23"/>
      <c r="G196" s="23"/>
      <c r="H196" s="44"/>
      <c r="I196" s="44"/>
      <c r="J196" s="23"/>
      <c r="K196" s="23"/>
      <c r="L196" s="23"/>
      <c r="M196" s="23"/>
      <c r="N196" s="23"/>
      <c r="O196" s="24"/>
      <c r="P196" s="24"/>
      <c r="Q196" s="23"/>
      <c r="R196" s="23"/>
      <c r="S196" s="23"/>
      <c r="T196" s="45"/>
      <c r="U196" s="45"/>
    </row>
    <row r="197" ht="15.75" customHeight="1">
      <c r="A197" s="42"/>
      <c r="B197" s="25"/>
      <c r="C197" s="26"/>
      <c r="D197" s="25"/>
      <c r="E197" s="25"/>
      <c r="F197" s="25"/>
      <c r="G197" s="25"/>
      <c r="H197" s="42"/>
      <c r="I197" s="42"/>
      <c r="J197" s="25"/>
      <c r="K197" s="25"/>
      <c r="L197" s="25"/>
      <c r="M197" s="25"/>
      <c r="N197" s="25"/>
      <c r="O197" s="26"/>
      <c r="P197" s="26"/>
      <c r="Q197" s="25"/>
      <c r="R197" s="25"/>
      <c r="S197" s="25"/>
      <c r="T197" s="43"/>
      <c r="U197" s="43"/>
    </row>
    <row r="198" ht="15.75" customHeight="1">
      <c r="A198" s="44"/>
      <c r="B198" s="23"/>
      <c r="C198" s="24"/>
      <c r="D198" s="23"/>
      <c r="E198" s="23"/>
      <c r="F198" s="23"/>
      <c r="G198" s="23"/>
      <c r="H198" s="44"/>
      <c r="I198" s="44"/>
      <c r="J198" s="23"/>
      <c r="K198" s="23"/>
      <c r="L198" s="23"/>
      <c r="M198" s="23"/>
      <c r="N198" s="23"/>
      <c r="O198" s="24"/>
      <c r="P198" s="24"/>
      <c r="Q198" s="23"/>
      <c r="R198" s="23"/>
      <c r="S198" s="23"/>
      <c r="T198" s="45"/>
      <c r="U198" s="45"/>
    </row>
    <row r="199" ht="15.75" customHeight="1">
      <c r="A199" s="42"/>
      <c r="B199" s="25"/>
      <c r="C199" s="26"/>
      <c r="D199" s="25"/>
      <c r="E199" s="25"/>
      <c r="F199" s="25"/>
      <c r="G199" s="25"/>
      <c r="H199" s="42"/>
      <c r="I199" s="42"/>
      <c r="J199" s="25"/>
      <c r="K199" s="25"/>
      <c r="L199" s="25"/>
      <c r="M199" s="25"/>
      <c r="N199" s="25"/>
      <c r="O199" s="26"/>
      <c r="P199" s="26"/>
      <c r="Q199" s="25"/>
      <c r="R199" s="25"/>
      <c r="S199" s="25"/>
      <c r="T199" s="43"/>
      <c r="U199" s="43"/>
    </row>
    <row r="200" ht="15.75" customHeight="1">
      <c r="A200" s="44"/>
      <c r="B200" s="23"/>
      <c r="C200" s="24"/>
      <c r="D200" s="23"/>
      <c r="E200" s="23"/>
      <c r="F200" s="23"/>
      <c r="G200" s="23"/>
      <c r="H200" s="44"/>
      <c r="I200" s="44"/>
      <c r="J200" s="23"/>
      <c r="K200" s="23"/>
      <c r="L200" s="23"/>
      <c r="M200" s="23"/>
      <c r="N200" s="23"/>
      <c r="O200" s="24"/>
      <c r="P200" s="24"/>
      <c r="Q200" s="23"/>
      <c r="R200" s="23"/>
      <c r="S200" s="23"/>
      <c r="T200" s="45"/>
      <c r="U200" s="45"/>
    </row>
    <row r="201" ht="15.75" customHeight="1">
      <c r="A201" s="42"/>
      <c r="B201" s="25"/>
      <c r="C201" s="26"/>
      <c r="D201" s="25"/>
      <c r="E201" s="25"/>
      <c r="F201" s="25"/>
      <c r="G201" s="25"/>
      <c r="H201" s="42"/>
      <c r="I201" s="42"/>
      <c r="J201" s="25"/>
      <c r="K201" s="25"/>
      <c r="L201" s="25"/>
      <c r="M201" s="25"/>
      <c r="N201" s="25"/>
      <c r="O201" s="26"/>
      <c r="P201" s="26"/>
      <c r="Q201" s="25"/>
      <c r="R201" s="25"/>
      <c r="S201" s="25"/>
      <c r="T201" s="43"/>
      <c r="U201" s="43"/>
    </row>
    <row r="202" ht="15.75" customHeight="1">
      <c r="A202" s="44"/>
      <c r="B202" s="23"/>
      <c r="C202" s="24"/>
      <c r="D202" s="23"/>
      <c r="E202" s="23"/>
      <c r="F202" s="23"/>
      <c r="G202" s="23"/>
      <c r="H202" s="44"/>
      <c r="I202" s="44"/>
      <c r="J202" s="23"/>
      <c r="K202" s="23"/>
      <c r="L202" s="23"/>
      <c r="M202" s="23"/>
      <c r="N202" s="23"/>
      <c r="O202" s="24"/>
      <c r="P202" s="24"/>
      <c r="Q202" s="23"/>
      <c r="R202" s="23"/>
      <c r="S202" s="23"/>
      <c r="T202" s="45"/>
      <c r="U202" s="45"/>
    </row>
    <row r="203" ht="15.75" customHeight="1">
      <c r="A203" s="42"/>
      <c r="B203" s="25"/>
      <c r="C203" s="26"/>
      <c r="D203" s="25"/>
      <c r="E203" s="25"/>
      <c r="F203" s="25"/>
      <c r="G203" s="25"/>
      <c r="H203" s="42"/>
      <c r="I203" s="42"/>
      <c r="J203" s="25"/>
      <c r="K203" s="25"/>
      <c r="L203" s="25"/>
      <c r="M203" s="25"/>
      <c r="N203" s="25"/>
      <c r="O203" s="26"/>
      <c r="P203" s="26"/>
      <c r="Q203" s="25"/>
      <c r="R203" s="25"/>
      <c r="S203" s="25"/>
      <c r="T203" s="43"/>
      <c r="U203" s="43"/>
    </row>
    <row r="204" ht="15.75" customHeight="1">
      <c r="A204" s="44"/>
      <c r="B204" s="23"/>
      <c r="C204" s="24"/>
      <c r="D204" s="23"/>
      <c r="E204" s="23"/>
      <c r="F204" s="23"/>
      <c r="G204" s="23"/>
      <c r="H204" s="44"/>
      <c r="I204" s="44"/>
      <c r="J204" s="23"/>
      <c r="K204" s="23"/>
      <c r="L204" s="23"/>
      <c r="M204" s="23"/>
      <c r="N204" s="23"/>
      <c r="O204" s="24"/>
      <c r="P204" s="24"/>
      <c r="Q204" s="23"/>
      <c r="R204" s="23"/>
      <c r="S204" s="23"/>
      <c r="T204" s="45"/>
      <c r="U204" s="45"/>
    </row>
    <row r="205" ht="15.75" customHeight="1">
      <c r="A205" s="42"/>
      <c r="B205" s="25"/>
      <c r="C205" s="26"/>
      <c r="D205" s="25"/>
      <c r="E205" s="25"/>
      <c r="F205" s="25"/>
      <c r="G205" s="25"/>
      <c r="H205" s="42"/>
      <c r="I205" s="42"/>
      <c r="J205" s="25"/>
      <c r="K205" s="25"/>
      <c r="L205" s="25"/>
      <c r="M205" s="25"/>
      <c r="N205" s="25"/>
      <c r="O205" s="26"/>
      <c r="P205" s="26"/>
      <c r="Q205" s="25"/>
      <c r="R205" s="25"/>
      <c r="S205" s="25"/>
      <c r="T205" s="43"/>
      <c r="U205" s="43"/>
    </row>
    <row r="206" ht="15.75" customHeight="1">
      <c r="A206" s="44"/>
      <c r="B206" s="23"/>
      <c r="C206" s="24"/>
      <c r="D206" s="23"/>
      <c r="E206" s="23"/>
      <c r="F206" s="23"/>
      <c r="G206" s="23"/>
      <c r="H206" s="44"/>
      <c r="I206" s="44"/>
      <c r="J206" s="23"/>
      <c r="K206" s="23"/>
      <c r="L206" s="23"/>
      <c r="M206" s="23"/>
      <c r="N206" s="23"/>
      <c r="O206" s="24"/>
      <c r="P206" s="24"/>
      <c r="Q206" s="23"/>
      <c r="R206" s="23"/>
      <c r="S206" s="23"/>
      <c r="T206" s="45"/>
      <c r="U206" s="45"/>
    </row>
    <row r="207" ht="15.75" customHeight="1">
      <c r="A207" s="42"/>
      <c r="B207" s="25"/>
      <c r="C207" s="26"/>
      <c r="D207" s="25"/>
      <c r="E207" s="25"/>
      <c r="F207" s="25"/>
      <c r="G207" s="25"/>
      <c r="H207" s="42"/>
      <c r="I207" s="42"/>
      <c r="J207" s="25"/>
      <c r="K207" s="25"/>
      <c r="L207" s="25"/>
      <c r="M207" s="25"/>
      <c r="N207" s="25"/>
      <c r="O207" s="26"/>
      <c r="P207" s="26"/>
      <c r="Q207" s="25"/>
      <c r="R207" s="25"/>
      <c r="S207" s="25"/>
      <c r="T207" s="43"/>
      <c r="U207" s="43"/>
    </row>
    <row r="208" ht="15.75" customHeight="1">
      <c r="A208" s="44"/>
      <c r="B208" s="23"/>
      <c r="C208" s="24"/>
      <c r="D208" s="23"/>
      <c r="E208" s="23"/>
      <c r="F208" s="23"/>
      <c r="G208" s="23"/>
      <c r="H208" s="44"/>
      <c r="I208" s="44"/>
      <c r="J208" s="23"/>
      <c r="K208" s="23"/>
      <c r="L208" s="23"/>
      <c r="M208" s="23"/>
      <c r="N208" s="23"/>
      <c r="O208" s="24"/>
      <c r="P208" s="24"/>
      <c r="Q208" s="23"/>
      <c r="R208" s="23"/>
      <c r="S208" s="23"/>
      <c r="T208" s="45"/>
      <c r="U208" s="45"/>
    </row>
    <row r="209" ht="15.75" customHeight="1">
      <c r="A209" s="42"/>
      <c r="B209" s="25"/>
      <c r="C209" s="26"/>
      <c r="D209" s="25"/>
      <c r="E209" s="25"/>
      <c r="F209" s="25"/>
      <c r="G209" s="25"/>
      <c r="H209" s="42"/>
      <c r="I209" s="42"/>
      <c r="J209" s="25"/>
      <c r="K209" s="25"/>
      <c r="L209" s="25"/>
      <c r="M209" s="25"/>
      <c r="N209" s="25"/>
      <c r="O209" s="26"/>
      <c r="P209" s="26"/>
      <c r="Q209" s="25"/>
      <c r="R209" s="25"/>
      <c r="S209" s="25"/>
      <c r="T209" s="43"/>
      <c r="U209" s="43"/>
    </row>
    <row r="210" ht="15.75" customHeight="1">
      <c r="A210" s="44"/>
      <c r="B210" s="23"/>
      <c r="C210" s="24"/>
      <c r="D210" s="23"/>
      <c r="E210" s="23"/>
      <c r="F210" s="23"/>
      <c r="G210" s="23"/>
      <c r="H210" s="44"/>
      <c r="I210" s="44"/>
      <c r="J210" s="23"/>
      <c r="K210" s="23"/>
      <c r="L210" s="23"/>
      <c r="M210" s="23"/>
      <c r="N210" s="23"/>
      <c r="O210" s="24"/>
      <c r="P210" s="24"/>
      <c r="Q210" s="23"/>
      <c r="R210" s="23"/>
      <c r="S210" s="23"/>
      <c r="T210" s="45"/>
      <c r="U210" s="45"/>
    </row>
    <row r="211" ht="15.75" customHeight="1">
      <c r="A211" s="42"/>
      <c r="B211" s="25"/>
      <c r="C211" s="26"/>
      <c r="D211" s="25"/>
      <c r="E211" s="25"/>
      <c r="F211" s="25"/>
      <c r="G211" s="25"/>
      <c r="H211" s="42"/>
      <c r="I211" s="42"/>
      <c r="J211" s="25"/>
      <c r="K211" s="25"/>
      <c r="L211" s="25"/>
      <c r="M211" s="25"/>
      <c r="N211" s="25"/>
      <c r="O211" s="26"/>
      <c r="P211" s="26"/>
      <c r="Q211" s="25"/>
      <c r="R211" s="25"/>
      <c r="S211" s="25"/>
      <c r="T211" s="43"/>
      <c r="U211" s="43"/>
    </row>
    <row r="212" ht="15.75" customHeight="1">
      <c r="A212" s="44"/>
      <c r="B212" s="23"/>
      <c r="C212" s="24"/>
      <c r="D212" s="23"/>
      <c r="E212" s="23"/>
      <c r="F212" s="23"/>
      <c r="G212" s="23"/>
      <c r="H212" s="44"/>
      <c r="I212" s="44"/>
      <c r="J212" s="23"/>
      <c r="K212" s="23"/>
      <c r="L212" s="23"/>
      <c r="M212" s="23"/>
      <c r="N212" s="23"/>
      <c r="O212" s="24"/>
      <c r="P212" s="24"/>
      <c r="Q212" s="23"/>
      <c r="R212" s="23"/>
      <c r="S212" s="23"/>
      <c r="T212" s="45"/>
      <c r="U212" s="45"/>
    </row>
    <row r="213" ht="15.75" customHeight="1">
      <c r="A213" s="42"/>
      <c r="B213" s="25"/>
      <c r="C213" s="26"/>
      <c r="D213" s="25"/>
      <c r="E213" s="25"/>
      <c r="F213" s="25"/>
      <c r="G213" s="25"/>
      <c r="H213" s="42"/>
      <c r="I213" s="42"/>
      <c r="J213" s="25"/>
      <c r="K213" s="25"/>
      <c r="L213" s="25"/>
      <c r="M213" s="25"/>
      <c r="N213" s="25"/>
      <c r="O213" s="26"/>
      <c r="P213" s="26"/>
      <c r="Q213" s="25"/>
      <c r="R213" s="25"/>
      <c r="S213" s="25"/>
      <c r="T213" s="43"/>
      <c r="U213" s="43"/>
    </row>
    <row r="214" ht="15.75" customHeight="1">
      <c r="A214" s="44"/>
      <c r="B214" s="23"/>
      <c r="C214" s="24"/>
      <c r="D214" s="23"/>
      <c r="E214" s="23"/>
      <c r="F214" s="23"/>
      <c r="G214" s="23"/>
      <c r="H214" s="44"/>
      <c r="I214" s="44"/>
      <c r="J214" s="23"/>
      <c r="K214" s="23"/>
      <c r="L214" s="23"/>
      <c r="M214" s="23"/>
      <c r="N214" s="23"/>
      <c r="O214" s="24"/>
      <c r="P214" s="24"/>
      <c r="Q214" s="23"/>
      <c r="R214" s="23"/>
      <c r="S214" s="23"/>
      <c r="T214" s="45"/>
      <c r="U214" s="45"/>
    </row>
    <row r="215" ht="15.75" customHeight="1">
      <c r="A215" s="42"/>
      <c r="B215" s="25"/>
      <c r="C215" s="26"/>
      <c r="D215" s="25"/>
      <c r="E215" s="25"/>
      <c r="F215" s="25"/>
      <c r="G215" s="25"/>
      <c r="H215" s="42"/>
      <c r="I215" s="42"/>
      <c r="J215" s="25"/>
      <c r="K215" s="25"/>
      <c r="L215" s="25"/>
      <c r="M215" s="25"/>
      <c r="N215" s="25"/>
      <c r="O215" s="26"/>
      <c r="P215" s="26"/>
      <c r="Q215" s="25"/>
      <c r="R215" s="25"/>
      <c r="S215" s="25"/>
      <c r="T215" s="43"/>
      <c r="U215" s="43"/>
    </row>
    <row r="216" ht="15.75" customHeight="1">
      <c r="A216" s="44"/>
      <c r="B216" s="23"/>
      <c r="C216" s="24"/>
      <c r="D216" s="23"/>
      <c r="E216" s="23"/>
      <c r="F216" s="23"/>
      <c r="G216" s="23"/>
      <c r="H216" s="44"/>
      <c r="I216" s="44"/>
      <c r="J216" s="23"/>
      <c r="K216" s="23"/>
      <c r="L216" s="23"/>
      <c r="M216" s="23"/>
      <c r="N216" s="23"/>
      <c r="O216" s="24"/>
      <c r="P216" s="24"/>
      <c r="Q216" s="23"/>
      <c r="R216" s="23"/>
      <c r="S216" s="23"/>
      <c r="T216" s="45"/>
      <c r="U216" s="45"/>
    </row>
    <row r="217" ht="15.75" customHeight="1">
      <c r="A217" s="42"/>
      <c r="B217" s="25"/>
      <c r="C217" s="26"/>
      <c r="D217" s="25"/>
      <c r="E217" s="25"/>
      <c r="F217" s="25"/>
      <c r="G217" s="25"/>
      <c r="H217" s="42"/>
      <c r="I217" s="42"/>
      <c r="J217" s="25"/>
      <c r="K217" s="25"/>
      <c r="L217" s="25"/>
      <c r="M217" s="25"/>
      <c r="N217" s="25"/>
      <c r="O217" s="26"/>
      <c r="P217" s="26"/>
      <c r="Q217" s="25"/>
      <c r="R217" s="25"/>
      <c r="S217" s="25"/>
      <c r="T217" s="43"/>
      <c r="U217" s="43"/>
    </row>
    <row r="218" ht="15.75" customHeight="1">
      <c r="A218" s="44"/>
      <c r="B218" s="23"/>
      <c r="C218" s="24"/>
      <c r="D218" s="23"/>
      <c r="E218" s="23"/>
      <c r="F218" s="23"/>
      <c r="G218" s="23"/>
      <c r="H218" s="44"/>
      <c r="I218" s="44"/>
      <c r="J218" s="23"/>
      <c r="K218" s="23"/>
      <c r="L218" s="23"/>
      <c r="M218" s="23"/>
      <c r="N218" s="23"/>
      <c r="O218" s="24"/>
      <c r="P218" s="24"/>
      <c r="Q218" s="23"/>
      <c r="R218" s="23"/>
      <c r="S218" s="23"/>
      <c r="T218" s="45"/>
      <c r="U218" s="45"/>
    </row>
    <row r="219" ht="15.75" customHeight="1">
      <c r="A219" s="46"/>
      <c r="E219" s="47"/>
      <c r="H219" s="46"/>
      <c r="I219" s="46"/>
      <c r="N219" s="47"/>
    </row>
    <row r="220" ht="15.75" customHeight="1">
      <c r="A220" s="46"/>
      <c r="E220" s="47"/>
      <c r="H220" s="46"/>
      <c r="I220" s="46"/>
      <c r="N220" s="47"/>
    </row>
    <row r="221" ht="15.75" customHeight="1">
      <c r="A221" s="46"/>
      <c r="E221" s="47"/>
      <c r="H221" s="46"/>
      <c r="I221" s="46"/>
      <c r="N221" s="47"/>
    </row>
    <row r="222" ht="15.75" customHeight="1">
      <c r="A222" s="46"/>
      <c r="E222" s="47"/>
      <c r="H222" s="46"/>
      <c r="I222" s="46"/>
      <c r="N222" s="47"/>
    </row>
    <row r="223" ht="15.75" customHeight="1">
      <c r="A223" s="46"/>
      <c r="E223" s="47"/>
      <c r="H223" s="46"/>
      <c r="I223" s="46"/>
      <c r="N223" s="47"/>
    </row>
    <row r="224" ht="15.75" customHeight="1">
      <c r="A224" s="46"/>
      <c r="E224" s="47"/>
      <c r="H224" s="46"/>
      <c r="I224" s="46"/>
      <c r="N224" s="47"/>
    </row>
    <row r="225" ht="15.75" customHeight="1">
      <c r="A225" s="46"/>
      <c r="E225" s="47"/>
      <c r="H225" s="46"/>
      <c r="I225" s="46"/>
      <c r="N225" s="47"/>
    </row>
    <row r="226" ht="15.75" customHeight="1">
      <c r="A226" s="46"/>
      <c r="E226" s="47"/>
      <c r="H226" s="46"/>
      <c r="I226" s="46"/>
      <c r="N226" s="47"/>
    </row>
    <row r="227" ht="15.75" customHeight="1">
      <c r="A227" s="46"/>
      <c r="E227" s="47"/>
      <c r="H227" s="46"/>
      <c r="I227" s="46"/>
      <c r="N227" s="47"/>
    </row>
    <row r="228" ht="15.75" customHeight="1">
      <c r="A228" s="46"/>
      <c r="E228" s="47"/>
      <c r="H228" s="46"/>
      <c r="I228" s="46"/>
      <c r="N228" s="47"/>
    </row>
    <row r="229" ht="15.75" customHeight="1">
      <c r="A229" s="46"/>
      <c r="E229" s="47"/>
      <c r="H229" s="46"/>
      <c r="I229" s="46"/>
      <c r="N229" s="47"/>
    </row>
    <row r="230" ht="15.75" customHeight="1">
      <c r="A230" s="46"/>
      <c r="E230" s="47"/>
      <c r="H230" s="46"/>
      <c r="I230" s="46"/>
      <c r="N230" s="47"/>
    </row>
    <row r="231" ht="15.75" customHeight="1">
      <c r="A231" s="46"/>
      <c r="E231" s="47"/>
      <c r="H231" s="46"/>
      <c r="I231" s="46"/>
      <c r="N231" s="47"/>
    </row>
    <row r="232" ht="15.75" customHeight="1">
      <c r="A232" s="46"/>
      <c r="E232" s="47"/>
      <c r="H232" s="46"/>
      <c r="I232" s="46"/>
      <c r="N232" s="47"/>
    </row>
    <row r="233" ht="15.75" customHeight="1">
      <c r="A233" s="46"/>
      <c r="E233" s="47"/>
      <c r="H233" s="46"/>
      <c r="I233" s="46"/>
      <c r="N233" s="47"/>
    </row>
    <row r="234" ht="15.75" customHeight="1">
      <c r="A234" s="46"/>
      <c r="E234" s="47"/>
      <c r="H234" s="46"/>
      <c r="I234" s="46"/>
      <c r="N234" s="47"/>
    </row>
    <row r="235" ht="15.75" customHeight="1">
      <c r="A235" s="46"/>
      <c r="E235" s="47"/>
      <c r="H235" s="46"/>
      <c r="I235" s="46"/>
      <c r="N235" s="47"/>
    </row>
    <row r="236" ht="15.75" customHeight="1">
      <c r="A236" s="46"/>
      <c r="E236" s="47"/>
      <c r="H236" s="46"/>
      <c r="I236" s="46"/>
      <c r="N236" s="47"/>
    </row>
    <row r="237" ht="15.75" customHeight="1">
      <c r="A237" s="46"/>
      <c r="E237" s="47"/>
      <c r="H237" s="46"/>
      <c r="I237" s="46"/>
      <c r="N237" s="47"/>
    </row>
    <row r="238" ht="15.75" customHeight="1">
      <c r="A238" s="46"/>
      <c r="E238" s="47"/>
      <c r="H238" s="46"/>
      <c r="I238" s="46"/>
      <c r="N238" s="47"/>
    </row>
    <row r="239" ht="15.75" customHeight="1">
      <c r="A239" s="46"/>
      <c r="E239" s="47"/>
      <c r="H239" s="46"/>
      <c r="I239" s="46"/>
      <c r="N239" s="47"/>
    </row>
    <row r="240" ht="15.75" customHeight="1">
      <c r="A240" s="46"/>
      <c r="E240" s="47"/>
      <c r="H240" s="46"/>
      <c r="I240" s="46"/>
      <c r="N240" s="47"/>
    </row>
    <row r="241" ht="15.75" customHeight="1">
      <c r="A241" s="46"/>
      <c r="E241" s="47"/>
      <c r="H241" s="46"/>
      <c r="I241" s="46"/>
      <c r="N241" s="47"/>
    </row>
    <row r="242" ht="15.75" customHeight="1">
      <c r="A242" s="46"/>
      <c r="E242" s="47"/>
      <c r="H242" s="46"/>
      <c r="I242" s="46"/>
      <c r="N242" s="47"/>
    </row>
    <row r="243" ht="15.75" customHeight="1">
      <c r="A243" s="46"/>
      <c r="E243" s="47"/>
      <c r="H243" s="46"/>
      <c r="I243" s="46"/>
      <c r="N243" s="47"/>
    </row>
    <row r="244" ht="15.75" customHeight="1">
      <c r="A244" s="46"/>
      <c r="E244" s="47"/>
      <c r="H244" s="46"/>
      <c r="I244" s="46"/>
      <c r="N244" s="47"/>
    </row>
    <row r="245" ht="15.75" customHeight="1">
      <c r="A245" s="46"/>
      <c r="E245" s="47"/>
      <c r="H245" s="46"/>
      <c r="I245" s="46"/>
      <c r="N245" s="47"/>
    </row>
    <row r="246" ht="15.75" customHeight="1">
      <c r="A246" s="46"/>
      <c r="E246" s="47"/>
      <c r="H246" s="46"/>
      <c r="I246" s="46"/>
      <c r="N246" s="47"/>
    </row>
    <row r="247" ht="15.75" customHeight="1">
      <c r="A247" s="46"/>
      <c r="E247" s="47"/>
      <c r="H247" s="46"/>
      <c r="I247" s="46"/>
      <c r="N247" s="47"/>
    </row>
    <row r="248" ht="15.75" customHeight="1">
      <c r="A248" s="46"/>
      <c r="E248" s="47"/>
      <c r="H248" s="46"/>
      <c r="I248" s="46"/>
      <c r="N248" s="47"/>
    </row>
    <row r="249" ht="15.75" customHeight="1">
      <c r="A249" s="46"/>
      <c r="E249" s="47"/>
      <c r="H249" s="46"/>
      <c r="I249" s="46"/>
      <c r="N249" s="47"/>
    </row>
    <row r="250" ht="15.75" customHeight="1">
      <c r="A250" s="46"/>
      <c r="E250" s="47"/>
      <c r="H250" s="46"/>
      <c r="I250" s="46"/>
      <c r="N250" s="47"/>
    </row>
    <row r="251" ht="15.75" customHeight="1">
      <c r="A251" s="46"/>
      <c r="E251" s="47"/>
      <c r="H251" s="46"/>
      <c r="I251" s="46"/>
      <c r="N251" s="47"/>
    </row>
    <row r="252" ht="15.75" customHeight="1">
      <c r="A252" s="46"/>
      <c r="E252" s="47"/>
      <c r="H252" s="46"/>
      <c r="I252" s="46"/>
      <c r="N252" s="47"/>
    </row>
    <row r="253" ht="15.75" customHeight="1">
      <c r="A253" s="46"/>
      <c r="E253" s="47"/>
      <c r="H253" s="46"/>
      <c r="I253" s="46"/>
      <c r="N253" s="47"/>
    </row>
    <row r="254" ht="15.75" customHeight="1">
      <c r="A254" s="46"/>
      <c r="E254" s="47"/>
      <c r="H254" s="46"/>
      <c r="I254" s="46"/>
      <c r="N254" s="47"/>
    </row>
    <row r="255" ht="15.75" customHeight="1">
      <c r="A255" s="46"/>
      <c r="E255" s="47"/>
      <c r="H255" s="46"/>
      <c r="I255" s="46"/>
      <c r="N255" s="47"/>
    </row>
    <row r="256" ht="15.75" customHeight="1">
      <c r="A256" s="46"/>
      <c r="E256" s="47"/>
      <c r="H256" s="46"/>
      <c r="I256" s="46"/>
      <c r="N256" s="47"/>
    </row>
    <row r="257" ht="15.75" customHeight="1">
      <c r="A257" s="46"/>
      <c r="E257" s="47"/>
      <c r="H257" s="46"/>
      <c r="I257" s="46"/>
      <c r="N257" s="47"/>
    </row>
    <row r="258" ht="15.75" customHeight="1">
      <c r="A258" s="46"/>
      <c r="E258" s="47"/>
      <c r="H258" s="46"/>
      <c r="I258" s="46"/>
      <c r="N258" s="47"/>
    </row>
    <row r="259" ht="15.75" customHeight="1">
      <c r="A259" s="46"/>
      <c r="E259" s="47"/>
      <c r="H259" s="46"/>
      <c r="I259" s="46"/>
      <c r="N259" s="47"/>
    </row>
    <row r="260" ht="15.75" customHeight="1">
      <c r="A260" s="46"/>
      <c r="E260" s="47"/>
      <c r="H260" s="46"/>
      <c r="I260" s="46"/>
      <c r="N260" s="47"/>
    </row>
    <row r="261" ht="15.75" customHeight="1">
      <c r="A261" s="46"/>
      <c r="E261" s="47"/>
      <c r="H261" s="46"/>
      <c r="I261" s="46"/>
      <c r="N261" s="47"/>
    </row>
    <row r="262" ht="15.75" customHeight="1">
      <c r="A262" s="46"/>
      <c r="E262" s="47"/>
      <c r="H262" s="46"/>
      <c r="I262" s="46"/>
      <c r="N262" s="47"/>
    </row>
    <row r="263" ht="15.75" customHeight="1">
      <c r="A263" s="46"/>
      <c r="E263" s="47"/>
      <c r="H263" s="46"/>
      <c r="I263" s="46"/>
      <c r="N263" s="47"/>
    </row>
    <row r="264" ht="15.75" customHeight="1">
      <c r="A264" s="46"/>
      <c r="E264" s="47"/>
      <c r="H264" s="46"/>
      <c r="I264" s="46"/>
      <c r="N264" s="47"/>
    </row>
    <row r="265" ht="15.75" customHeight="1">
      <c r="A265" s="46"/>
      <c r="E265" s="47"/>
      <c r="H265" s="46"/>
      <c r="I265" s="46"/>
      <c r="N265" s="47"/>
    </row>
    <row r="266" ht="15.75" customHeight="1">
      <c r="A266" s="46"/>
      <c r="E266" s="47"/>
      <c r="H266" s="46"/>
      <c r="I266" s="46"/>
      <c r="N266" s="47"/>
    </row>
    <row r="267" ht="15.75" customHeight="1">
      <c r="A267" s="46"/>
      <c r="E267" s="47"/>
      <c r="H267" s="46"/>
      <c r="I267" s="46"/>
      <c r="N267" s="47"/>
    </row>
    <row r="268" ht="15.75" customHeight="1">
      <c r="A268" s="46"/>
      <c r="E268" s="47"/>
      <c r="H268" s="46"/>
      <c r="I268" s="46"/>
      <c r="N268" s="47"/>
    </row>
    <row r="269" ht="15.75" customHeight="1">
      <c r="A269" s="46"/>
      <c r="E269" s="47"/>
      <c r="H269" s="46"/>
      <c r="I269" s="46"/>
      <c r="N269" s="47"/>
    </row>
    <row r="270" ht="15.75" customHeight="1">
      <c r="A270" s="46"/>
      <c r="E270" s="47"/>
      <c r="H270" s="46"/>
      <c r="I270" s="46"/>
      <c r="N270" s="47"/>
    </row>
    <row r="271" ht="15.75" customHeight="1">
      <c r="A271" s="46"/>
      <c r="E271" s="47"/>
      <c r="H271" s="46"/>
      <c r="I271" s="46"/>
      <c r="N271" s="47"/>
    </row>
    <row r="272" ht="15.75" customHeight="1">
      <c r="A272" s="46"/>
      <c r="E272" s="47"/>
      <c r="H272" s="46"/>
      <c r="I272" s="46"/>
      <c r="N272" s="47"/>
    </row>
    <row r="273" ht="15.75" customHeight="1">
      <c r="A273" s="46"/>
      <c r="E273" s="47"/>
      <c r="H273" s="46"/>
      <c r="I273" s="46"/>
      <c r="N273" s="47"/>
    </row>
    <row r="274" ht="15.75" customHeight="1">
      <c r="A274" s="46"/>
      <c r="E274" s="47"/>
      <c r="H274" s="46"/>
      <c r="I274" s="46"/>
      <c r="N274" s="47"/>
    </row>
    <row r="275" ht="15.75" customHeight="1">
      <c r="A275" s="46"/>
      <c r="E275" s="47"/>
      <c r="H275" s="46"/>
      <c r="I275" s="46"/>
      <c r="N275" s="47"/>
    </row>
    <row r="276" ht="15.75" customHeight="1">
      <c r="A276" s="46"/>
      <c r="E276" s="47"/>
      <c r="H276" s="46"/>
      <c r="I276" s="46"/>
      <c r="N276" s="47"/>
    </row>
    <row r="277" ht="15.75" customHeight="1">
      <c r="A277" s="46"/>
      <c r="E277" s="47"/>
      <c r="H277" s="46"/>
      <c r="I277" s="46"/>
      <c r="N277" s="47"/>
    </row>
    <row r="278" ht="15.75" customHeight="1">
      <c r="A278" s="46"/>
      <c r="E278" s="47"/>
      <c r="H278" s="46"/>
      <c r="I278" s="46"/>
      <c r="N278" s="47"/>
    </row>
    <row r="279" ht="15.75" customHeight="1">
      <c r="A279" s="46"/>
      <c r="E279" s="47"/>
      <c r="H279" s="46"/>
      <c r="I279" s="46"/>
      <c r="N279" s="47"/>
    </row>
    <row r="280" ht="15.75" customHeight="1">
      <c r="A280" s="46"/>
      <c r="E280" s="47"/>
      <c r="H280" s="46"/>
      <c r="I280" s="46"/>
      <c r="N280" s="47"/>
    </row>
    <row r="281" ht="15.75" customHeight="1">
      <c r="A281" s="46"/>
      <c r="E281" s="47"/>
      <c r="H281" s="46"/>
      <c r="I281" s="46"/>
      <c r="N281" s="47"/>
    </row>
    <row r="282" ht="15.75" customHeight="1">
      <c r="A282" s="46"/>
      <c r="E282" s="47"/>
      <c r="H282" s="46"/>
      <c r="I282" s="46"/>
      <c r="N282" s="47"/>
    </row>
    <row r="283" ht="15.75" customHeight="1">
      <c r="A283" s="46"/>
      <c r="E283" s="47"/>
      <c r="H283" s="46"/>
      <c r="I283" s="46"/>
      <c r="N283" s="47"/>
    </row>
    <row r="284" ht="15.75" customHeight="1">
      <c r="A284" s="46"/>
      <c r="E284" s="47"/>
      <c r="H284" s="46"/>
      <c r="I284" s="46"/>
      <c r="N284" s="47"/>
    </row>
    <row r="285" ht="15.75" customHeight="1">
      <c r="A285" s="46"/>
      <c r="E285" s="47"/>
      <c r="H285" s="46"/>
      <c r="I285" s="46"/>
      <c r="N285" s="47"/>
    </row>
    <row r="286" ht="15.75" customHeight="1">
      <c r="A286" s="46"/>
      <c r="E286" s="47"/>
      <c r="H286" s="46"/>
      <c r="I286" s="46"/>
      <c r="N286" s="47"/>
    </row>
    <row r="287" ht="15.75" customHeight="1">
      <c r="A287" s="46"/>
      <c r="E287" s="47"/>
      <c r="H287" s="46"/>
      <c r="I287" s="46"/>
      <c r="N287" s="47"/>
    </row>
    <row r="288" ht="15.75" customHeight="1">
      <c r="A288" s="46"/>
      <c r="E288" s="47"/>
      <c r="H288" s="46"/>
      <c r="I288" s="46"/>
      <c r="N288" s="47"/>
    </row>
    <row r="289" ht="15.75" customHeight="1">
      <c r="A289" s="46"/>
      <c r="E289" s="47"/>
      <c r="H289" s="46"/>
      <c r="I289" s="46"/>
      <c r="N289" s="47"/>
    </row>
    <row r="290" ht="15.75" customHeight="1">
      <c r="A290" s="46"/>
      <c r="E290" s="47"/>
      <c r="H290" s="46"/>
      <c r="I290" s="46"/>
      <c r="N290" s="47"/>
    </row>
    <row r="291" ht="15.75" customHeight="1">
      <c r="A291" s="46"/>
      <c r="E291" s="47"/>
      <c r="H291" s="46"/>
      <c r="I291" s="46"/>
      <c r="N291" s="47"/>
    </row>
    <row r="292" ht="15.75" customHeight="1">
      <c r="A292" s="46"/>
      <c r="E292" s="47"/>
      <c r="H292" s="46"/>
      <c r="I292" s="46"/>
      <c r="N292" s="47"/>
    </row>
    <row r="293" ht="15.75" customHeight="1">
      <c r="A293" s="46"/>
      <c r="E293" s="47"/>
      <c r="H293" s="46"/>
      <c r="I293" s="46"/>
      <c r="N293" s="47"/>
    </row>
    <row r="294" ht="15.75" customHeight="1">
      <c r="A294" s="46"/>
      <c r="E294" s="47"/>
      <c r="H294" s="46"/>
      <c r="I294" s="46"/>
      <c r="N294" s="47"/>
    </row>
    <row r="295" ht="15.75" customHeight="1">
      <c r="A295" s="46"/>
      <c r="E295" s="47"/>
      <c r="H295" s="46"/>
      <c r="I295" s="46"/>
      <c r="N295" s="47"/>
    </row>
    <row r="296" ht="15.75" customHeight="1">
      <c r="A296" s="46"/>
      <c r="E296" s="47"/>
      <c r="H296" s="46"/>
      <c r="I296" s="46"/>
      <c r="N296" s="47"/>
    </row>
    <row r="297" ht="15.75" customHeight="1">
      <c r="A297" s="46"/>
      <c r="E297" s="47"/>
      <c r="H297" s="46"/>
      <c r="I297" s="46"/>
      <c r="N297" s="47"/>
    </row>
    <row r="298" ht="15.75" customHeight="1">
      <c r="A298" s="46"/>
      <c r="E298" s="47"/>
      <c r="H298" s="46"/>
      <c r="I298" s="46"/>
      <c r="N298" s="47"/>
    </row>
    <row r="299" ht="15.75" customHeight="1">
      <c r="A299" s="46"/>
      <c r="E299" s="47"/>
      <c r="H299" s="46"/>
      <c r="I299" s="46"/>
      <c r="N299" s="47"/>
    </row>
    <row r="300" ht="15.75" customHeight="1">
      <c r="A300" s="46"/>
      <c r="E300" s="47"/>
      <c r="H300" s="46"/>
      <c r="I300" s="46"/>
      <c r="N300" s="47"/>
    </row>
    <row r="301" ht="15.75" customHeight="1">
      <c r="A301" s="46"/>
      <c r="E301" s="47"/>
      <c r="H301" s="46"/>
      <c r="I301" s="46"/>
      <c r="N301" s="47"/>
    </row>
    <row r="302" ht="15.75" customHeight="1">
      <c r="A302" s="46"/>
      <c r="E302" s="47"/>
      <c r="H302" s="46"/>
      <c r="I302" s="46"/>
      <c r="N302" s="47"/>
    </row>
    <row r="303" ht="15.75" customHeight="1">
      <c r="A303" s="46"/>
      <c r="E303" s="47"/>
      <c r="H303" s="46"/>
      <c r="I303" s="46"/>
      <c r="N303" s="47"/>
    </row>
    <row r="304" ht="15.75" customHeight="1">
      <c r="A304" s="46"/>
      <c r="E304" s="47"/>
      <c r="H304" s="46"/>
      <c r="I304" s="46"/>
      <c r="N304" s="47"/>
    </row>
    <row r="305" ht="15.75" customHeight="1">
      <c r="A305" s="46"/>
      <c r="E305" s="47"/>
      <c r="H305" s="46"/>
      <c r="I305" s="46"/>
      <c r="N305" s="47"/>
    </row>
    <row r="306" ht="15.75" customHeight="1">
      <c r="A306" s="46"/>
      <c r="E306" s="47"/>
      <c r="H306" s="46"/>
      <c r="I306" s="46"/>
      <c r="N306" s="47"/>
    </row>
    <row r="307" ht="15.75" customHeight="1">
      <c r="A307" s="46"/>
      <c r="E307" s="47"/>
      <c r="H307" s="46"/>
      <c r="I307" s="46"/>
      <c r="N307" s="47"/>
    </row>
    <row r="308" ht="15.75" customHeight="1">
      <c r="A308" s="46"/>
      <c r="E308" s="47"/>
      <c r="H308" s="46"/>
      <c r="I308" s="46"/>
      <c r="N308" s="47"/>
    </row>
    <row r="309" ht="15.75" customHeight="1">
      <c r="A309" s="46"/>
      <c r="E309" s="47"/>
      <c r="H309" s="46"/>
      <c r="I309" s="46"/>
      <c r="N309" s="47"/>
    </row>
    <row r="310" ht="15.75" customHeight="1">
      <c r="A310" s="46"/>
      <c r="E310" s="47"/>
      <c r="H310" s="46"/>
      <c r="I310" s="46"/>
      <c r="N310" s="47"/>
    </row>
    <row r="311" ht="15.75" customHeight="1">
      <c r="A311" s="46"/>
      <c r="E311" s="47"/>
      <c r="H311" s="46"/>
      <c r="I311" s="46"/>
      <c r="N311" s="47"/>
    </row>
    <row r="312" ht="15.75" customHeight="1">
      <c r="A312" s="46"/>
      <c r="E312" s="47"/>
      <c r="H312" s="46"/>
      <c r="I312" s="46"/>
      <c r="N312" s="47"/>
    </row>
    <row r="313" ht="15.75" customHeight="1">
      <c r="A313" s="46"/>
      <c r="E313" s="47"/>
      <c r="H313" s="46"/>
      <c r="I313" s="46"/>
      <c r="N313" s="47"/>
    </row>
    <row r="314" ht="15.75" customHeight="1">
      <c r="A314" s="46"/>
      <c r="E314" s="47"/>
      <c r="H314" s="46"/>
      <c r="I314" s="46"/>
      <c r="N314" s="47"/>
    </row>
    <row r="315" ht="15.75" customHeight="1">
      <c r="A315" s="46"/>
      <c r="E315" s="47"/>
      <c r="H315" s="46"/>
      <c r="I315" s="46"/>
      <c r="N315" s="47"/>
    </row>
    <row r="316" ht="15.75" customHeight="1">
      <c r="A316" s="46"/>
      <c r="E316" s="47"/>
      <c r="H316" s="46"/>
      <c r="I316" s="46"/>
      <c r="N316" s="47"/>
    </row>
    <row r="317" ht="15.75" customHeight="1">
      <c r="A317" s="46"/>
      <c r="E317" s="47"/>
      <c r="H317" s="46"/>
      <c r="I317" s="46"/>
      <c r="N317" s="47"/>
    </row>
    <row r="318" ht="15.75" customHeight="1">
      <c r="A318" s="46"/>
      <c r="E318" s="47"/>
      <c r="H318" s="46"/>
      <c r="I318" s="46"/>
      <c r="N318" s="47"/>
    </row>
    <row r="319" ht="15.75" customHeight="1">
      <c r="A319" s="46"/>
      <c r="E319" s="47"/>
      <c r="H319" s="46"/>
      <c r="I319" s="46"/>
      <c r="N319" s="47"/>
    </row>
    <row r="320" ht="15.75" customHeight="1">
      <c r="A320" s="46"/>
      <c r="E320" s="47"/>
      <c r="H320" s="46"/>
      <c r="I320" s="46"/>
      <c r="N320" s="47"/>
    </row>
    <row r="321" ht="15.75" customHeight="1">
      <c r="A321" s="46"/>
      <c r="E321" s="47"/>
      <c r="H321" s="46"/>
      <c r="I321" s="46"/>
      <c r="N321" s="47"/>
    </row>
    <row r="322" ht="15.75" customHeight="1">
      <c r="A322" s="46"/>
      <c r="E322" s="47"/>
      <c r="H322" s="46"/>
      <c r="I322" s="46"/>
      <c r="N322" s="47"/>
    </row>
    <row r="323" ht="15.75" customHeight="1">
      <c r="A323" s="46"/>
      <c r="E323" s="47"/>
      <c r="H323" s="46"/>
      <c r="I323" s="46"/>
      <c r="N323" s="47"/>
    </row>
    <row r="324" ht="15.75" customHeight="1">
      <c r="A324" s="46"/>
      <c r="E324" s="47"/>
      <c r="H324" s="46"/>
      <c r="I324" s="46"/>
      <c r="N324" s="47"/>
    </row>
    <row r="325" ht="15.75" customHeight="1">
      <c r="A325" s="46"/>
      <c r="E325" s="47"/>
      <c r="H325" s="46"/>
      <c r="I325" s="46"/>
      <c r="N325" s="47"/>
    </row>
    <row r="326" ht="15.75" customHeight="1">
      <c r="A326" s="46"/>
      <c r="E326" s="47"/>
      <c r="H326" s="46"/>
      <c r="I326" s="46"/>
      <c r="N326" s="47"/>
    </row>
    <row r="327" ht="15.75" customHeight="1">
      <c r="A327" s="46"/>
      <c r="E327" s="47"/>
      <c r="H327" s="46"/>
      <c r="I327" s="46"/>
      <c r="N327" s="47"/>
    </row>
    <row r="328" ht="15.75" customHeight="1">
      <c r="A328" s="46"/>
      <c r="E328" s="47"/>
      <c r="H328" s="46"/>
      <c r="I328" s="46"/>
      <c r="N328" s="47"/>
    </row>
    <row r="329" ht="15.75" customHeight="1">
      <c r="A329" s="46"/>
      <c r="E329" s="47"/>
      <c r="H329" s="46"/>
      <c r="I329" s="46"/>
      <c r="N329" s="47"/>
    </row>
    <row r="330" ht="15.75" customHeight="1">
      <c r="A330" s="46"/>
      <c r="E330" s="47"/>
      <c r="H330" s="46"/>
      <c r="I330" s="46"/>
      <c r="N330" s="47"/>
    </row>
    <row r="331" ht="15.75" customHeight="1">
      <c r="A331" s="46"/>
      <c r="E331" s="47"/>
      <c r="H331" s="46"/>
      <c r="I331" s="46"/>
      <c r="N331" s="47"/>
    </row>
    <row r="332" ht="15.75" customHeight="1">
      <c r="A332" s="46"/>
      <c r="E332" s="47"/>
      <c r="H332" s="46"/>
      <c r="I332" s="46"/>
      <c r="N332" s="47"/>
    </row>
    <row r="333" ht="15.75" customHeight="1">
      <c r="A333" s="46"/>
      <c r="E333" s="47"/>
      <c r="H333" s="46"/>
      <c r="I333" s="46"/>
      <c r="N333" s="47"/>
    </row>
    <row r="334" ht="15.75" customHeight="1">
      <c r="A334" s="46"/>
      <c r="E334" s="47"/>
      <c r="H334" s="46"/>
      <c r="I334" s="46"/>
      <c r="N334" s="47"/>
    </row>
    <row r="335" ht="15.75" customHeight="1">
      <c r="A335" s="46"/>
      <c r="E335" s="47"/>
      <c r="H335" s="46"/>
      <c r="I335" s="46"/>
      <c r="N335" s="47"/>
    </row>
    <row r="336" ht="15.75" customHeight="1">
      <c r="A336" s="46"/>
      <c r="E336" s="47"/>
      <c r="H336" s="46"/>
      <c r="I336" s="46"/>
      <c r="N336" s="47"/>
    </row>
    <row r="337" ht="15.75" customHeight="1">
      <c r="A337" s="46"/>
      <c r="E337" s="47"/>
      <c r="H337" s="46"/>
      <c r="I337" s="46"/>
      <c r="N337" s="47"/>
    </row>
    <row r="338" ht="15.75" customHeight="1">
      <c r="A338" s="46"/>
      <c r="E338" s="47"/>
      <c r="H338" s="46"/>
      <c r="I338" s="46"/>
      <c r="N338" s="47"/>
    </row>
    <row r="339" ht="15.75" customHeight="1">
      <c r="A339" s="46"/>
      <c r="E339" s="47"/>
      <c r="H339" s="46"/>
      <c r="I339" s="46"/>
      <c r="N339" s="47"/>
    </row>
    <row r="340" ht="15.75" customHeight="1">
      <c r="A340" s="46"/>
      <c r="E340" s="47"/>
      <c r="H340" s="46"/>
      <c r="I340" s="46"/>
      <c r="N340" s="47"/>
    </row>
    <row r="341" ht="15.75" customHeight="1">
      <c r="A341" s="46"/>
      <c r="E341" s="47"/>
      <c r="H341" s="46"/>
      <c r="I341" s="46"/>
      <c r="N341" s="47"/>
    </row>
    <row r="342" ht="15.75" customHeight="1">
      <c r="A342" s="46"/>
      <c r="E342" s="47"/>
      <c r="H342" s="46"/>
      <c r="I342" s="46"/>
      <c r="N342" s="47"/>
    </row>
    <row r="343" ht="15.75" customHeight="1">
      <c r="A343" s="46"/>
      <c r="E343" s="47"/>
      <c r="H343" s="46"/>
      <c r="I343" s="46"/>
      <c r="N343" s="47"/>
    </row>
    <row r="344" ht="15.75" customHeight="1">
      <c r="A344" s="46"/>
      <c r="E344" s="47"/>
      <c r="H344" s="46"/>
      <c r="I344" s="46"/>
      <c r="N344" s="47"/>
    </row>
    <row r="345" ht="15.75" customHeight="1">
      <c r="A345" s="46"/>
      <c r="E345" s="47"/>
      <c r="H345" s="46"/>
      <c r="I345" s="46"/>
      <c r="N345" s="47"/>
    </row>
    <row r="346" ht="15.75" customHeight="1">
      <c r="A346" s="46"/>
      <c r="E346" s="47"/>
      <c r="H346" s="46"/>
      <c r="I346" s="46"/>
      <c r="N346" s="47"/>
    </row>
    <row r="347" ht="15.75" customHeight="1">
      <c r="A347" s="46"/>
      <c r="E347" s="47"/>
      <c r="H347" s="46"/>
      <c r="I347" s="46"/>
      <c r="N347" s="47"/>
    </row>
    <row r="348" ht="15.75" customHeight="1">
      <c r="A348" s="46"/>
      <c r="E348" s="47"/>
      <c r="H348" s="46"/>
      <c r="I348" s="46"/>
      <c r="N348" s="47"/>
    </row>
    <row r="349" ht="15.75" customHeight="1">
      <c r="A349" s="46"/>
      <c r="E349" s="47"/>
      <c r="H349" s="46"/>
      <c r="I349" s="46"/>
      <c r="N349" s="47"/>
    </row>
    <row r="350" ht="15.75" customHeight="1">
      <c r="A350" s="46"/>
      <c r="E350" s="47"/>
      <c r="H350" s="46"/>
      <c r="I350" s="46"/>
      <c r="N350" s="47"/>
    </row>
    <row r="351" ht="15.75" customHeight="1">
      <c r="A351" s="46"/>
      <c r="E351" s="47"/>
      <c r="H351" s="46"/>
      <c r="I351" s="46"/>
      <c r="N351" s="47"/>
    </row>
    <row r="352" ht="15.75" customHeight="1">
      <c r="A352" s="46"/>
      <c r="E352" s="47"/>
      <c r="H352" s="46"/>
      <c r="I352" s="46"/>
      <c r="N352" s="47"/>
    </row>
    <row r="353" ht="15.75" customHeight="1">
      <c r="A353" s="46"/>
      <c r="E353" s="47"/>
      <c r="H353" s="46"/>
      <c r="I353" s="46"/>
      <c r="N353" s="47"/>
    </row>
    <row r="354" ht="15.75" customHeight="1">
      <c r="A354" s="46"/>
      <c r="E354" s="47"/>
      <c r="H354" s="46"/>
      <c r="I354" s="46"/>
      <c r="N354" s="47"/>
    </row>
    <row r="355" ht="15.75" customHeight="1">
      <c r="A355" s="46"/>
      <c r="E355" s="47"/>
      <c r="H355" s="46"/>
      <c r="I355" s="46"/>
      <c r="N355" s="47"/>
    </row>
    <row r="356" ht="15.75" customHeight="1">
      <c r="A356" s="46"/>
      <c r="E356" s="47"/>
      <c r="H356" s="46"/>
      <c r="I356" s="46"/>
      <c r="N356" s="47"/>
    </row>
    <row r="357" ht="15.75" customHeight="1">
      <c r="A357" s="46"/>
      <c r="E357" s="47"/>
      <c r="H357" s="46"/>
      <c r="I357" s="46"/>
      <c r="N357" s="47"/>
    </row>
    <row r="358" ht="15.75" customHeight="1">
      <c r="A358" s="46"/>
      <c r="E358" s="47"/>
      <c r="H358" s="46"/>
      <c r="I358" s="46"/>
      <c r="N358" s="47"/>
    </row>
    <row r="359" ht="15.75" customHeight="1">
      <c r="A359" s="46"/>
      <c r="E359" s="47"/>
      <c r="H359" s="46"/>
      <c r="I359" s="46"/>
      <c r="N359" s="47"/>
    </row>
    <row r="360" ht="15.75" customHeight="1">
      <c r="A360" s="46"/>
      <c r="E360" s="47"/>
      <c r="H360" s="46"/>
      <c r="I360" s="46"/>
      <c r="N360" s="47"/>
    </row>
    <row r="361" ht="15.75" customHeight="1">
      <c r="A361" s="46"/>
      <c r="E361" s="47"/>
      <c r="H361" s="46"/>
      <c r="I361" s="46"/>
      <c r="N361" s="47"/>
    </row>
    <row r="362" ht="15.75" customHeight="1">
      <c r="A362" s="46"/>
      <c r="E362" s="47"/>
      <c r="H362" s="46"/>
      <c r="I362" s="46"/>
      <c r="N362" s="47"/>
    </row>
    <row r="363" ht="15.75" customHeight="1">
      <c r="A363" s="46"/>
      <c r="E363" s="47"/>
      <c r="H363" s="46"/>
      <c r="I363" s="46"/>
      <c r="N363" s="47"/>
    </row>
    <row r="364" ht="15.75" customHeight="1">
      <c r="A364" s="46"/>
      <c r="E364" s="47"/>
      <c r="H364" s="46"/>
      <c r="I364" s="46"/>
      <c r="N364" s="47"/>
    </row>
    <row r="365" ht="15.75" customHeight="1">
      <c r="A365" s="46"/>
      <c r="E365" s="47"/>
      <c r="H365" s="46"/>
      <c r="I365" s="46"/>
      <c r="N365" s="47"/>
    </row>
    <row r="366" ht="15.75" customHeight="1">
      <c r="A366" s="46"/>
      <c r="E366" s="47"/>
      <c r="H366" s="46"/>
      <c r="I366" s="46"/>
      <c r="N366" s="47"/>
    </row>
    <row r="367" ht="15.75" customHeight="1">
      <c r="A367" s="46"/>
      <c r="E367" s="47"/>
      <c r="H367" s="46"/>
      <c r="I367" s="46"/>
      <c r="N367" s="47"/>
    </row>
    <row r="368" ht="15.75" customHeight="1">
      <c r="A368" s="46"/>
      <c r="E368" s="47"/>
      <c r="H368" s="46"/>
      <c r="I368" s="46"/>
      <c r="N368" s="47"/>
    </row>
    <row r="369" ht="15.75" customHeight="1">
      <c r="A369" s="46"/>
      <c r="E369" s="47"/>
      <c r="H369" s="46"/>
      <c r="I369" s="46"/>
      <c r="N369" s="47"/>
    </row>
    <row r="370" ht="15.75" customHeight="1">
      <c r="A370" s="46"/>
      <c r="E370" s="47"/>
      <c r="H370" s="46"/>
      <c r="I370" s="46"/>
      <c r="N370" s="47"/>
    </row>
    <row r="371" ht="15.75" customHeight="1">
      <c r="A371" s="46"/>
      <c r="E371" s="47"/>
      <c r="H371" s="46"/>
      <c r="I371" s="46"/>
      <c r="N371" s="47"/>
    </row>
    <row r="372" ht="15.75" customHeight="1">
      <c r="A372" s="46"/>
      <c r="E372" s="47"/>
      <c r="H372" s="46"/>
      <c r="I372" s="46"/>
      <c r="N372" s="47"/>
    </row>
    <row r="373" ht="15.75" customHeight="1">
      <c r="A373" s="46"/>
      <c r="E373" s="47"/>
      <c r="H373" s="46"/>
      <c r="I373" s="46"/>
      <c r="N373" s="47"/>
    </row>
    <row r="374" ht="15.75" customHeight="1">
      <c r="A374" s="46"/>
      <c r="E374" s="47"/>
      <c r="H374" s="46"/>
      <c r="I374" s="46"/>
      <c r="N374" s="47"/>
    </row>
    <row r="375" ht="15.75" customHeight="1">
      <c r="A375" s="46"/>
      <c r="E375" s="47"/>
      <c r="H375" s="46"/>
      <c r="I375" s="46"/>
      <c r="N375" s="47"/>
    </row>
    <row r="376" ht="15.75" customHeight="1">
      <c r="A376" s="46"/>
      <c r="E376" s="47"/>
      <c r="H376" s="46"/>
      <c r="I376" s="46"/>
      <c r="N376" s="47"/>
    </row>
    <row r="377" ht="15.75" customHeight="1">
      <c r="A377" s="46"/>
      <c r="E377" s="47"/>
      <c r="H377" s="46"/>
      <c r="I377" s="46"/>
      <c r="N377" s="47"/>
    </row>
    <row r="378" ht="15.75" customHeight="1">
      <c r="A378" s="46"/>
      <c r="E378" s="47"/>
      <c r="H378" s="46"/>
      <c r="I378" s="46"/>
      <c r="N378" s="47"/>
    </row>
    <row r="379" ht="15.75" customHeight="1">
      <c r="A379" s="46"/>
      <c r="E379" s="47"/>
      <c r="H379" s="46"/>
      <c r="I379" s="46"/>
      <c r="N379" s="47"/>
    </row>
    <row r="380" ht="15.75" customHeight="1">
      <c r="A380" s="46"/>
      <c r="E380" s="47"/>
      <c r="H380" s="46"/>
      <c r="I380" s="46"/>
      <c r="N380" s="47"/>
    </row>
    <row r="381" ht="15.75" customHeight="1">
      <c r="A381" s="46"/>
      <c r="E381" s="47"/>
      <c r="H381" s="46"/>
      <c r="I381" s="46"/>
      <c r="N381" s="47"/>
    </row>
    <row r="382" ht="15.75" customHeight="1">
      <c r="A382" s="46"/>
      <c r="E382" s="47"/>
      <c r="H382" s="46"/>
      <c r="I382" s="46"/>
      <c r="N382" s="47"/>
    </row>
    <row r="383" ht="15.75" customHeight="1">
      <c r="A383" s="46"/>
      <c r="E383" s="47"/>
      <c r="H383" s="46"/>
      <c r="I383" s="46"/>
      <c r="N383" s="47"/>
    </row>
    <row r="384" ht="15.75" customHeight="1">
      <c r="A384" s="46"/>
      <c r="E384" s="47"/>
      <c r="H384" s="46"/>
      <c r="I384" s="46"/>
      <c r="N384" s="47"/>
    </row>
    <row r="385" ht="15.75" customHeight="1">
      <c r="A385" s="46"/>
      <c r="E385" s="47"/>
      <c r="H385" s="46"/>
      <c r="I385" s="46"/>
      <c r="N385" s="47"/>
    </row>
    <row r="386" ht="15.75" customHeight="1">
      <c r="A386" s="46"/>
      <c r="E386" s="47"/>
      <c r="H386" s="46"/>
      <c r="I386" s="46"/>
      <c r="N386" s="47"/>
    </row>
    <row r="387" ht="15.75" customHeight="1">
      <c r="A387" s="46"/>
      <c r="E387" s="47"/>
      <c r="H387" s="46"/>
      <c r="I387" s="46"/>
      <c r="N387" s="47"/>
    </row>
    <row r="388" ht="15.75" customHeight="1">
      <c r="A388" s="46"/>
      <c r="E388" s="47"/>
      <c r="H388" s="46"/>
      <c r="I388" s="46"/>
      <c r="N388" s="47"/>
    </row>
    <row r="389" ht="15.75" customHeight="1">
      <c r="A389" s="46"/>
      <c r="E389" s="47"/>
      <c r="H389" s="46"/>
      <c r="I389" s="46"/>
      <c r="N389" s="47"/>
    </row>
    <row r="390" ht="15.75" customHeight="1">
      <c r="A390" s="46"/>
      <c r="E390" s="47"/>
      <c r="H390" s="46"/>
      <c r="I390" s="46"/>
      <c r="N390" s="47"/>
    </row>
    <row r="391" ht="15.75" customHeight="1">
      <c r="A391" s="46"/>
      <c r="E391" s="47"/>
      <c r="H391" s="46"/>
      <c r="I391" s="46"/>
      <c r="N391" s="47"/>
    </row>
    <row r="392" ht="15.75" customHeight="1">
      <c r="A392" s="46"/>
      <c r="E392" s="47"/>
      <c r="H392" s="46"/>
      <c r="I392" s="46"/>
      <c r="N392" s="47"/>
    </row>
    <row r="393" ht="15.75" customHeight="1">
      <c r="A393" s="46"/>
      <c r="E393" s="47"/>
      <c r="H393" s="46"/>
      <c r="I393" s="46"/>
      <c r="N393" s="47"/>
    </row>
    <row r="394" ht="15.75" customHeight="1">
      <c r="A394" s="46"/>
      <c r="E394" s="47"/>
      <c r="H394" s="46"/>
      <c r="I394" s="46"/>
      <c r="N394" s="47"/>
    </row>
    <row r="395" ht="15.75" customHeight="1">
      <c r="A395" s="46"/>
      <c r="E395" s="47"/>
      <c r="H395" s="46"/>
      <c r="I395" s="46"/>
      <c r="N395" s="47"/>
    </row>
    <row r="396" ht="15.75" customHeight="1">
      <c r="A396" s="46"/>
      <c r="E396" s="47"/>
      <c r="H396" s="46"/>
      <c r="I396" s="46"/>
      <c r="N396" s="47"/>
    </row>
    <row r="397" ht="15.75" customHeight="1">
      <c r="A397" s="46"/>
      <c r="E397" s="47"/>
      <c r="H397" s="46"/>
      <c r="I397" s="46"/>
      <c r="N397" s="47"/>
    </row>
    <row r="398" ht="15.75" customHeight="1">
      <c r="A398" s="46"/>
      <c r="E398" s="47"/>
      <c r="H398" s="46"/>
      <c r="I398" s="46"/>
      <c r="N398" s="47"/>
    </row>
    <row r="399" ht="15.75" customHeight="1">
      <c r="A399" s="46"/>
      <c r="E399" s="47"/>
      <c r="H399" s="46"/>
      <c r="I399" s="46"/>
      <c r="N399" s="47"/>
    </row>
    <row r="400" ht="15.75" customHeight="1">
      <c r="A400" s="46"/>
      <c r="E400" s="47"/>
      <c r="H400" s="46"/>
      <c r="I400" s="46"/>
      <c r="N400" s="47"/>
    </row>
    <row r="401" ht="15.75" customHeight="1">
      <c r="A401" s="46"/>
      <c r="E401" s="47"/>
      <c r="H401" s="46"/>
      <c r="I401" s="46"/>
      <c r="N401" s="47"/>
    </row>
    <row r="402" ht="15.75" customHeight="1">
      <c r="A402" s="46"/>
      <c r="E402" s="47"/>
      <c r="H402" s="46"/>
      <c r="I402" s="46"/>
      <c r="N402" s="47"/>
    </row>
    <row r="403" ht="15.75" customHeight="1">
      <c r="A403" s="46"/>
      <c r="E403" s="47"/>
      <c r="H403" s="46"/>
      <c r="I403" s="46"/>
      <c r="N403" s="47"/>
    </row>
    <row r="404" ht="15.75" customHeight="1">
      <c r="A404" s="46"/>
      <c r="E404" s="47"/>
      <c r="H404" s="46"/>
      <c r="I404" s="46"/>
      <c r="N404" s="47"/>
    </row>
    <row r="405" ht="15.75" customHeight="1">
      <c r="A405" s="46"/>
      <c r="E405" s="47"/>
      <c r="H405" s="46"/>
      <c r="I405" s="46"/>
      <c r="N405" s="47"/>
    </row>
    <row r="406" ht="15.75" customHeight="1">
      <c r="A406" s="46"/>
      <c r="E406" s="47"/>
      <c r="H406" s="46"/>
      <c r="I406" s="46"/>
      <c r="N406" s="47"/>
    </row>
    <row r="407" ht="15.75" customHeight="1">
      <c r="A407" s="46"/>
      <c r="E407" s="47"/>
      <c r="H407" s="46"/>
      <c r="I407" s="46"/>
      <c r="N407" s="47"/>
    </row>
    <row r="408" ht="15.75" customHeight="1">
      <c r="A408" s="46"/>
      <c r="E408" s="47"/>
      <c r="H408" s="46"/>
      <c r="I408" s="46"/>
      <c r="N408" s="47"/>
    </row>
    <row r="409" ht="15.75" customHeight="1">
      <c r="A409" s="46"/>
      <c r="E409" s="47"/>
      <c r="H409" s="46"/>
      <c r="I409" s="46"/>
      <c r="N409" s="47"/>
    </row>
    <row r="410" ht="15.75" customHeight="1">
      <c r="A410" s="46"/>
      <c r="E410" s="47"/>
      <c r="H410" s="46"/>
      <c r="I410" s="46"/>
      <c r="N410" s="47"/>
    </row>
    <row r="411" ht="15.75" customHeight="1">
      <c r="A411" s="46"/>
      <c r="E411" s="47"/>
      <c r="H411" s="46"/>
      <c r="I411" s="46"/>
      <c r="N411" s="47"/>
    </row>
    <row r="412" ht="15.75" customHeight="1">
      <c r="A412" s="46"/>
      <c r="E412" s="47"/>
      <c r="H412" s="46"/>
      <c r="I412" s="46"/>
      <c r="N412" s="47"/>
    </row>
    <row r="413" ht="15.75" customHeight="1">
      <c r="A413" s="46"/>
      <c r="E413" s="47"/>
      <c r="H413" s="46"/>
      <c r="I413" s="46"/>
      <c r="N413" s="47"/>
    </row>
    <row r="414" ht="15.75" customHeight="1">
      <c r="A414" s="46"/>
      <c r="E414" s="47"/>
      <c r="H414" s="46"/>
      <c r="I414" s="46"/>
      <c r="N414" s="47"/>
    </row>
    <row r="415" ht="15.75" customHeight="1">
      <c r="A415" s="46"/>
      <c r="E415" s="47"/>
      <c r="H415" s="46"/>
      <c r="I415" s="46"/>
      <c r="N415" s="47"/>
    </row>
    <row r="416" ht="15.75" customHeight="1">
      <c r="A416" s="46"/>
      <c r="E416" s="47"/>
      <c r="H416" s="46"/>
      <c r="I416" s="46"/>
      <c r="N416" s="47"/>
    </row>
    <row r="417" ht="15.75" customHeight="1">
      <c r="A417" s="46"/>
      <c r="E417" s="47"/>
      <c r="H417" s="46"/>
      <c r="I417" s="46"/>
      <c r="N417" s="47"/>
    </row>
    <row r="418" ht="15.75" customHeight="1">
      <c r="A418" s="46"/>
      <c r="E418" s="47"/>
      <c r="H418" s="46"/>
      <c r="I418" s="46"/>
      <c r="N418" s="47"/>
    </row>
    <row r="419" ht="15.75" customHeight="1">
      <c r="A419" s="46"/>
      <c r="E419" s="47"/>
      <c r="H419" s="46"/>
      <c r="I419" s="46"/>
      <c r="N419" s="47"/>
    </row>
    <row r="420" ht="15.75" customHeight="1">
      <c r="A420" s="46"/>
      <c r="E420" s="47"/>
      <c r="H420" s="46"/>
      <c r="I420" s="46"/>
      <c r="N420" s="47"/>
    </row>
    <row r="421" ht="15.75" customHeight="1">
      <c r="A421" s="46"/>
      <c r="E421" s="47"/>
      <c r="H421" s="46"/>
      <c r="I421" s="46"/>
      <c r="N421" s="47"/>
    </row>
    <row r="422" ht="15.75" customHeight="1">
      <c r="A422" s="46"/>
      <c r="E422" s="47"/>
      <c r="H422" s="46"/>
      <c r="I422" s="46"/>
      <c r="N422" s="47"/>
    </row>
    <row r="423" ht="15.75" customHeight="1">
      <c r="A423" s="46"/>
      <c r="E423" s="47"/>
      <c r="H423" s="46"/>
      <c r="I423" s="46"/>
      <c r="N423" s="47"/>
    </row>
    <row r="424" ht="15.75" customHeight="1">
      <c r="A424" s="46"/>
      <c r="E424" s="47"/>
      <c r="H424" s="46"/>
      <c r="I424" s="46"/>
      <c r="N424" s="47"/>
    </row>
    <row r="425" ht="15.75" customHeight="1">
      <c r="A425" s="46"/>
      <c r="E425" s="47"/>
      <c r="H425" s="46"/>
      <c r="I425" s="46"/>
      <c r="N425" s="47"/>
    </row>
    <row r="426" ht="15.75" customHeight="1">
      <c r="A426" s="46"/>
      <c r="E426" s="47"/>
      <c r="H426" s="46"/>
      <c r="I426" s="46"/>
      <c r="N426" s="47"/>
    </row>
    <row r="427" ht="15.75" customHeight="1">
      <c r="A427" s="46"/>
      <c r="E427" s="47"/>
      <c r="H427" s="46"/>
      <c r="I427" s="46"/>
      <c r="N427" s="47"/>
    </row>
    <row r="428" ht="15.75" customHeight="1">
      <c r="A428" s="46"/>
      <c r="E428" s="47"/>
      <c r="H428" s="46"/>
      <c r="I428" s="46"/>
      <c r="N428" s="47"/>
    </row>
    <row r="429" ht="15.75" customHeight="1">
      <c r="A429" s="46"/>
      <c r="E429" s="47"/>
      <c r="H429" s="46"/>
      <c r="I429" s="46"/>
      <c r="N429" s="47"/>
    </row>
    <row r="430" ht="15.75" customHeight="1">
      <c r="A430" s="46"/>
      <c r="E430" s="47"/>
      <c r="H430" s="46"/>
      <c r="I430" s="46"/>
      <c r="N430" s="47"/>
    </row>
    <row r="431" ht="15.75" customHeight="1">
      <c r="A431" s="46"/>
      <c r="E431" s="47"/>
      <c r="H431" s="46"/>
      <c r="I431" s="46"/>
      <c r="N431" s="47"/>
    </row>
    <row r="432" ht="15.75" customHeight="1">
      <c r="A432" s="46"/>
      <c r="E432" s="47"/>
      <c r="H432" s="46"/>
      <c r="I432" s="46"/>
      <c r="N432" s="47"/>
    </row>
    <row r="433" ht="15.75" customHeight="1">
      <c r="A433" s="46"/>
      <c r="E433" s="47"/>
      <c r="H433" s="46"/>
      <c r="I433" s="46"/>
      <c r="N433" s="47"/>
    </row>
    <row r="434" ht="15.75" customHeight="1">
      <c r="A434" s="46"/>
      <c r="E434" s="47"/>
      <c r="H434" s="46"/>
      <c r="I434" s="46"/>
      <c r="N434" s="47"/>
    </row>
    <row r="435" ht="15.75" customHeight="1">
      <c r="A435" s="46"/>
      <c r="E435" s="47"/>
      <c r="H435" s="46"/>
      <c r="I435" s="46"/>
      <c r="N435" s="47"/>
    </row>
    <row r="436" ht="15.75" customHeight="1">
      <c r="A436" s="46"/>
      <c r="E436" s="47"/>
      <c r="H436" s="46"/>
      <c r="I436" s="46"/>
      <c r="N436" s="47"/>
    </row>
    <row r="437" ht="15.75" customHeight="1">
      <c r="A437" s="46"/>
      <c r="E437" s="47"/>
      <c r="H437" s="46"/>
      <c r="I437" s="46"/>
      <c r="N437" s="47"/>
    </row>
    <row r="438" ht="15.75" customHeight="1">
      <c r="A438" s="46"/>
      <c r="E438" s="47"/>
      <c r="H438" s="46"/>
      <c r="I438" s="46"/>
      <c r="N438" s="47"/>
    </row>
    <row r="439" ht="15.75" customHeight="1">
      <c r="A439" s="46"/>
      <c r="E439" s="47"/>
      <c r="H439" s="46"/>
      <c r="I439" s="46"/>
      <c r="N439" s="47"/>
    </row>
    <row r="440" ht="15.75" customHeight="1">
      <c r="A440" s="46"/>
      <c r="E440" s="47"/>
      <c r="H440" s="46"/>
      <c r="I440" s="46"/>
      <c r="N440" s="47"/>
    </row>
    <row r="441" ht="15.75" customHeight="1">
      <c r="A441" s="46"/>
      <c r="E441" s="47"/>
      <c r="H441" s="46"/>
      <c r="I441" s="46"/>
      <c r="N441" s="47"/>
    </row>
    <row r="442" ht="15.75" customHeight="1">
      <c r="A442" s="46"/>
      <c r="E442" s="47"/>
      <c r="H442" s="46"/>
      <c r="I442" s="46"/>
      <c r="N442" s="47"/>
    </row>
    <row r="443" ht="15.75" customHeight="1">
      <c r="A443" s="46"/>
      <c r="E443" s="47"/>
      <c r="H443" s="46"/>
      <c r="I443" s="46"/>
      <c r="N443" s="47"/>
    </row>
    <row r="444" ht="15.75" customHeight="1">
      <c r="A444" s="46"/>
      <c r="E444" s="47"/>
      <c r="H444" s="46"/>
      <c r="I444" s="46"/>
      <c r="N444" s="47"/>
    </row>
    <row r="445" ht="15.75" customHeight="1">
      <c r="A445" s="46"/>
      <c r="E445" s="47"/>
      <c r="H445" s="46"/>
      <c r="I445" s="46"/>
      <c r="N445" s="47"/>
    </row>
    <row r="446" ht="15.75" customHeight="1">
      <c r="A446" s="46"/>
      <c r="E446" s="47"/>
      <c r="H446" s="46"/>
      <c r="I446" s="46"/>
      <c r="N446" s="47"/>
    </row>
    <row r="447" ht="15.75" customHeight="1">
      <c r="A447" s="46"/>
      <c r="E447" s="47"/>
      <c r="H447" s="46"/>
      <c r="I447" s="46"/>
      <c r="N447" s="47"/>
    </row>
    <row r="448" ht="15.75" customHeight="1">
      <c r="A448" s="46"/>
      <c r="E448" s="47"/>
      <c r="H448" s="46"/>
      <c r="I448" s="46"/>
      <c r="N448" s="47"/>
    </row>
    <row r="449" ht="15.75" customHeight="1">
      <c r="A449" s="46"/>
      <c r="E449" s="47"/>
      <c r="H449" s="46"/>
      <c r="I449" s="46"/>
      <c r="N449" s="47"/>
    </row>
    <row r="450" ht="15.75" customHeight="1">
      <c r="A450" s="46"/>
      <c r="E450" s="47"/>
      <c r="H450" s="46"/>
      <c r="I450" s="46"/>
      <c r="N450" s="47"/>
    </row>
    <row r="451" ht="15.75" customHeight="1">
      <c r="A451" s="46"/>
      <c r="E451" s="47"/>
      <c r="H451" s="46"/>
      <c r="I451" s="46"/>
      <c r="N451" s="47"/>
    </row>
    <row r="452" ht="15.75" customHeight="1">
      <c r="A452" s="46"/>
      <c r="E452" s="47"/>
      <c r="H452" s="46"/>
      <c r="I452" s="46"/>
      <c r="N452" s="47"/>
    </row>
    <row r="453" ht="15.75" customHeight="1">
      <c r="A453" s="46"/>
      <c r="E453" s="47"/>
      <c r="H453" s="46"/>
      <c r="I453" s="46"/>
      <c r="N453" s="47"/>
    </row>
    <row r="454" ht="15.75" customHeight="1">
      <c r="A454" s="46"/>
      <c r="E454" s="47"/>
      <c r="H454" s="46"/>
      <c r="I454" s="46"/>
      <c r="N454" s="47"/>
    </row>
    <row r="455" ht="15.75" customHeight="1">
      <c r="A455" s="46"/>
      <c r="E455" s="47"/>
      <c r="H455" s="46"/>
      <c r="I455" s="46"/>
      <c r="N455" s="47"/>
    </row>
    <row r="456" ht="15.75" customHeight="1">
      <c r="A456" s="46"/>
      <c r="E456" s="47"/>
      <c r="H456" s="46"/>
      <c r="I456" s="46"/>
      <c r="N456" s="47"/>
    </row>
    <row r="457" ht="15.75" customHeight="1">
      <c r="A457" s="46"/>
      <c r="E457" s="47"/>
      <c r="H457" s="46"/>
      <c r="I457" s="46"/>
      <c r="N457" s="47"/>
    </row>
    <row r="458" ht="15.75" customHeight="1">
      <c r="A458" s="46"/>
      <c r="E458" s="47"/>
      <c r="H458" s="46"/>
      <c r="I458" s="46"/>
      <c r="N458" s="47"/>
    </row>
    <row r="459" ht="15.75" customHeight="1">
      <c r="A459" s="46"/>
      <c r="E459" s="47"/>
      <c r="H459" s="46"/>
      <c r="I459" s="46"/>
      <c r="N459" s="47"/>
    </row>
    <row r="460" ht="15.75" customHeight="1">
      <c r="A460" s="46"/>
      <c r="E460" s="47"/>
      <c r="H460" s="46"/>
      <c r="I460" s="46"/>
      <c r="N460" s="47"/>
    </row>
    <row r="461" ht="15.75" customHeight="1">
      <c r="A461" s="46"/>
      <c r="E461" s="47"/>
      <c r="H461" s="46"/>
      <c r="I461" s="46"/>
      <c r="N461" s="47"/>
    </row>
    <row r="462" ht="15.75" customHeight="1">
      <c r="A462" s="46"/>
      <c r="E462" s="47"/>
      <c r="H462" s="46"/>
      <c r="I462" s="46"/>
      <c r="N462" s="47"/>
    </row>
    <row r="463" ht="15.75" customHeight="1">
      <c r="A463" s="46"/>
      <c r="E463" s="47"/>
      <c r="H463" s="46"/>
      <c r="I463" s="46"/>
      <c r="N463" s="47"/>
    </row>
    <row r="464" ht="15.75" customHeight="1">
      <c r="A464" s="46"/>
      <c r="E464" s="47"/>
      <c r="H464" s="46"/>
      <c r="I464" s="46"/>
      <c r="N464" s="47"/>
    </row>
    <row r="465" ht="15.75" customHeight="1">
      <c r="A465" s="46"/>
      <c r="E465" s="47"/>
      <c r="H465" s="46"/>
      <c r="I465" s="46"/>
      <c r="N465" s="47"/>
    </row>
    <row r="466" ht="15.75" customHeight="1">
      <c r="A466" s="46"/>
      <c r="E466" s="47"/>
      <c r="H466" s="46"/>
      <c r="I466" s="46"/>
      <c r="N466" s="47"/>
    </row>
    <row r="467" ht="15.75" customHeight="1">
      <c r="A467" s="46"/>
      <c r="E467" s="47"/>
      <c r="H467" s="46"/>
      <c r="I467" s="46"/>
      <c r="N467" s="47"/>
    </row>
    <row r="468" ht="15.75" customHeight="1">
      <c r="A468" s="46"/>
      <c r="E468" s="47"/>
      <c r="H468" s="46"/>
      <c r="I468" s="46"/>
      <c r="N468" s="47"/>
    </row>
    <row r="469" ht="15.75" customHeight="1">
      <c r="A469" s="46"/>
      <c r="E469" s="47"/>
      <c r="H469" s="46"/>
      <c r="I469" s="46"/>
      <c r="N469" s="47"/>
    </row>
    <row r="470" ht="15.75" customHeight="1">
      <c r="A470" s="46"/>
      <c r="E470" s="47"/>
      <c r="H470" s="46"/>
      <c r="I470" s="46"/>
      <c r="N470" s="47"/>
    </row>
    <row r="471" ht="15.75" customHeight="1">
      <c r="A471" s="46"/>
      <c r="E471" s="47"/>
      <c r="H471" s="46"/>
      <c r="I471" s="46"/>
      <c r="N471" s="47"/>
    </row>
    <row r="472" ht="15.75" customHeight="1">
      <c r="A472" s="46"/>
      <c r="E472" s="47"/>
      <c r="H472" s="46"/>
      <c r="I472" s="46"/>
      <c r="N472" s="47"/>
    </row>
    <row r="473" ht="15.75" customHeight="1">
      <c r="A473" s="46"/>
      <c r="E473" s="47"/>
      <c r="H473" s="46"/>
      <c r="I473" s="46"/>
      <c r="N473" s="47"/>
    </row>
    <row r="474" ht="15.75" customHeight="1">
      <c r="A474" s="46"/>
      <c r="E474" s="47"/>
      <c r="H474" s="46"/>
      <c r="I474" s="46"/>
      <c r="N474" s="47"/>
    </row>
    <row r="475" ht="15.75" customHeight="1">
      <c r="A475" s="46"/>
      <c r="E475" s="47"/>
      <c r="H475" s="46"/>
      <c r="I475" s="46"/>
      <c r="N475" s="47"/>
    </row>
    <row r="476" ht="15.75" customHeight="1">
      <c r="A476" s="46"/>
      <c r="E476" s="47"/>
      <c r="H476" s="46"/>
      <c r="I476" s="46"/>
      <c r="N476" s="47"/>
    </row>
    <row r="477" ht="15.75" customHeight="1">
      <c r="A477" s="46"/>
      <c r="E477" s="47"/>
      <c r="H477" s="46"/>
      <c r="I477" s="46"/>
      <c r="N477" s="47"/>
    </row>
    <row r="478" ht="15.75" customHeight="1">
      <c r="A478" s="46"/>
      <c r="E478" s="47"/>
      <c r="H478" s="46"/>
      <c r="I478" s="46"/>
      <c r="N478" s="47"/>
    </row>
    <row r="479" ht="15.75" customHeight="1">
      <c r="A479" s="46"/>
      <c r="E479" s="47"/>
      <c r="H479" s="46"/>
      <c r="I479" s="46"/>
      <c r="N479" s="47"/>
    </row>
    <row r="480" ht="15.75" customHeight="1">
      <c r="A480" s="46"/>
      <c r="E480" s="47"/>
      <c r="H480" s="46"/>
      <c r="I480" s="46"/>
      <c r="N480" s="47"/>
    </row>
    <row r="481" ht="15.75" customHeight="1">
      <c r="A481" s="46"/>
      <c r="E481" s="47"/>
      <c r="H481" s="46"/>
      <c r="I481" s="46"/>
      <c r="N481" s="47"/>
    </row>
    <row r="482" ht="15.75" customHeight="1">
      <c r="A482" s="46"/>
      <c r="E482" s="47"/>
      <c r="H482" s="46"/>
      <c r="I482" s="46"/>
      <c r="N482" s="47"/>
    </row>
    <row r="483" ht="15.75" customHeight="1">
      <c r="A483" s="46"/>
      <c r="E483" s="47"/>
      <c r="H483" s="46"/>
      <c r="I483" s="46"/>
      <c r="N483" s="47"/>
    </row>
    <row r="484" ht="15.75" customHeight="1">
      <c r="A484" s="46"/>
      <c r="E484" s="47"/>
      <c r="H484" s="46"/>
      <c r="I484" s="46"/>
      <c r="N484" s="47"/>
    </row>
    <row r="485" ht="15.75" customHeight="1">
      <c r="A485" s="46"/>
      <c r="E485" s="47"/>
      <c r="H485" s="46"/>
      <c r="I485" s="46"/>
      <c r="N485" s="47"/>
    </row>
    <row r="486" ht="15.75" customHeight="1">
      <c r="A486" s="46"/>
      <c r="E486" s="47"/>
      <c r="H486" s="46"/>
      <c r="I486" s="46"/>
      <c r="N486" s="47"/>
    </row>
    <row r="487" ht="15.75" customHeight="1">
      <c r="A487" s="46"/>
      <c r="E487" s="47"/>
      <c r="H487" s="46"/>
      <c r="I487" s="46"/>
      <c r="N487" s="47"/>
    </row>
    <row r="488" ht="15.75" customHeight="1">
      <c r="A488" s="46"/>
      <c r="E488" s="47"/>
      <c r="H488" s="46"/>
      <c r="I488" s="46"/>
      <c r="N488" s="47"/>
    </row>
    <row r="489" ht="15.75" customHeight="1">
      <c r="A489" s="46"/>
      <c r="E489" s="47"/>
      <c r="H489" s="46"/>
      <c r="I489" s="46"/>
      <c r="N489" s="47"/>
    </row>
    <row r="490" ht="15.75" customHeight="1">
      <c r="A490" s="46"/>
      <c r="E490" s="47"/>
      <c r="H490" s="46"/>
      <c r="I490" s="46"/>
      <c r="N490" s="47"/>
    </row>
    <row r="491" ht="15.75" customHeight="1">
      <c r="A491" s="46"/>
      <c r="E491" s="47"/>
      <c r="H491" s="46"/>
      <c r="I491" s="46"/>
      <c r="N491" s="47"/>
    </row>
    <row r="492" ht="15.75" customHeight="1">
      <c r="A492" s="46"/>
      <c r="E492" s="47"/>
      <c r="H492" s="46"/>
      <c r="I492" s="46"/>
      <c r="N492" s="47"/>
    </row>
    <row r="493" ht="15.75" customHeight="1">
      <c r="A493" s="46"/>
      <c r="E493" s="47"/>
      <c r="H493" s="46"/>
      <c r="I493" s="46"/>
      <c r="N493" s="47"/>
    </row>
    <row r="494" ht="15.75" customHeight="1">
      <c r="A494" s="46"/>
      <c r="E494" s="47"/>
      <c r="H494" s="46"/>
      <c r="I494" s="46"/>
      <c r="N494" s="47"/>
    </row>
    <row r="495" ht="15.75" customHeight="1">
      <c r="A495" s="46"/>
      <c r="E495" s="47"/>
      <c r="H495" s="46"/>
      <c r="I495" s="46"/>
      <c r="N495" s="47"/>
    </row>
    <row r="496" ht="15.75" customHeight="1">
      <c r="A496" s="46"/>
      <c r="E496" s="47"/>
      <c r="H496" s="46"/>
      <c r="I496" s="46"/>
      <c r="N496" s="47"/>
    </row>
    <row r="497" ht="15.75" customHeight="1">
      <c r="A497" s="46"/>
      <c r="E497" s="47"/>
      <c r="H497" s="46"/>
      <c r="I497" s="46"/>
      <c r="N497" s="47"/>
    </row>
    <row r="498" ht="15.75" customHeight="1">
      <c r="A498" s="46"/>
      <c r="E498" s="47"/>
      <c r="H498" s="46"/>
      <c r="I498" s="46"/>
      <c r="N498" s="47"/>
    </row>
    <row r="499" ht="15.75" customHeight="1">
      <c r="A499" s="46"/>
      <c r="E499" s="47"/>
      <c r="H499" s="46"/>
      <c r="I499" s="46"/>
      <c r="N499" s="47"/>
    </row>
    <row r="500" ht="15.75" customHeight="1">
      <c r="A500" s="46"/>
      <c r="H500" s="46"/>
      <c r="I500" s="46"/>
    </row>
    <row r="501" ht="15.75" customHeight="1">
      <c r="A501" s="46"/>
      <c r="H501" s="46"/>
      <c r="I501" s="46"/>
    </row>
    <row r="502" ht="15.75" customHeight="1">
      <c r="A502" s="46"/>
      <c r="H502" s="46"/>
      <c r="I502" s="46"/>
    </row>
    <row r="503" ht="15.75" customHeight="1">
      <c r="A503" s="46"/>
      <c r="H503" s="46"/>
      <c r="I503" s="46"/>
    </row>
    <row r="504" ht="15.75" customHeight="1">
      <c r="A504" s="46"/>
      <c r="H504" s="46"/>
      <c r="I504" s="46"/>
    </row>
    <row r="505" ht="15.75" customHeight="1">
      <c r="A505" s="46"/>
      <c r="H505" s="46"/>
      <c r="I505" s="46"/>
    </row>
    <row r="506" ht="15.75" customHeight="1">
      <c r="A506" s="46"/>
      <c r="H506" s="46"/>
      <c r="I506" s="46"/>
    </row>
    <row r="507" ht="15.75" customHeight="1">
      <c r="A507" s="46"/>
      <c r="H507" s="46"/>
      <c r="I507" s="46"/>
    </row>
    <row r="508" ht="15.75" customHeight="1">
      <c r="A508" s="46"/>
      <c r="H508" s="46"/>
      <c r="I508" s="46"/>
    </row>
    <row r="509" ht="15.75" customHeight="1">
      <c r="A509" s="46"/>
      <c r="H509" s="46"/>
      <c r="I509" s="46"/>
    </row>
    <row r="510" ht="15.75" customHeight="1">
      <c r="A510" s="46"/>
      <c r="H510" s="46"/>
      <c r="I510" s="46"/>
    </row>
    <row r="511" ht="15.75" customHeight="1">
      <c r="A511" s="46"/>
      <c r="H511" s="46"/>
      <c r="I511" s="46"/>
    </row>
    <row r="512" ht="15.75" customHeight="1">
      <c r="A512" s="46"/>
      <c r="H512" s="46"/>
      <c r="I512" s="46"/>
    </row>
    <row r="513" ht="15.75" customHeight="1">
      <c r="A513" s="46"/>
      <c r="H513" s="46"/>
      <c r="I513" s="46"/>
    </row>
    <row r="514" ht="15.75" customHeight="1">
      <c r="A514" s="46"/>
      <c r="H514" s="46"/>
      <c r="I514" s="46"/>
    </row>
    <row r="515" ht="15.75" customHeight="1">
      <c r="A515" s="46"/>
      <c r="H515" s="46"/>
      <c r="I515" s="46"/>
    </row>
    <row r="516" ht="15.75" customHeight="1">
      <c r="A516" s="46"/>
      <c r="H516" s="46"/>
      <c r="I516" s="46"/>
    </row>
    <row r="517" ht="15.75" customHeight="1">
      <c r="A517" s="46"/>
      <c r="H517" s="46"/>
      <c r="I517" s="46"/>
    </row>
    <row r="518" ht="15.75" customHeight="1">
      <c r="A518" s="46"/>
      <c r="H518" s="46"/>
      <c r="I518" s="46"/>
    </row>
    <row r="519" ht="15.75" customHeight="1">
      <c r="A519" s="46"/>
      <c r="H519" s="46"/>
      <c r="I519" s="46"/>
    </row>
    <row r="520" ht="15.75" customHeight="1">
      <c r="A520" s="46"/>
      <c r="H520" s="46"/>
      <c r="I520" s="46"/>
    </row>
    <row r="521" ht="15.75" customHeight="1">
      <c r="A521" s="46"/>
      <c r="H521" s="46"/>
      <c r="I521" s="46"/>
    </row>
    <row r="522" ht="15.75" customHeight="1">
      <c r="A522" s="46"/>
      <c r="H522" s="46"/>
      <c r="I522" s="46"/>
    </row>
    <row r="523" ht="15.75" customHeight="1">
      <c r="A523" s="46"/>
      <c r="H523" s="46"/>
      <c r="I523" s="46"/>
    </row>
    <row r="524" ht="15.75" customHeight="1">
      <c r="A524" s="46"/>
      <c r="H524" s="46"/>
      <c r="I524" s="46"/>
    </row>
    <row r="525" ht="15.75" customHeight="1">
      <c r="A525" s="46"/>
      <c r="H525" s="46"/>
      <c r="I525" s="46"/>
    </row>
    <row r="526" ht="15.75" customHeight="1">
      <c r="A526" s="46"/>
      <c r="H526" s="46"/>
      <c r="I526" s="46"/>
    </row>
    <row r="527" ht="15.75" customHeight="1">
      <c r="A527" s="46"/>
      <c r="H527" s="46"/>
      <c r="I527" s="46"/>
    </row>
    <row r="528" ht="15.75" customHeight="1">
      <c r="A528" s="46"/>
      <c r="H528" s="46"/>
      <c r="I528" s="46"/>
    </row>
    <row r="529" ht="15.75" customHeight="1">
      <c r="A529" s="46"/>
      <c r="H529" s="46"/>
      <c r="I529" s="46"/>
    </row>
    <row r="530" ht="15.75" customHeight="1">
      <c r="A530" s="46"/>
      <c r="H530" s="46"/>
      <c r="I530" s="46"/>
    </row>
    <row r="531" ht="15.75" customHeight="1">
      <c r="A531" s="46"/>
      <c r="H531" s="46"/>
      <c r="I531" s="46"/>
    </row>
    <row r="532" ht="15.75" customHeight="1">
      <c r="A532" s="46"/>
      <c r="H532" s="46"/>
      <c r="I532" s="46"/>
    </row>
    <row r="533" ht="15.75" customHeight="1">
      <c r="A533" s="46"/>
      <c r="H533" s="46"/>
      <c r="I533" s="46"/>
    </row>
    <row r="534" ht="15.75" customHeight="1">
      <c r="A534" s="46"/>
      <c r="H534" s="46"/>
      <c r="I534" s="46"/>
    </row>
    <row r="535" ht="15.75" customHeight="1">
      <c r="A535" s="46"/>
      <c r="H535" s="46"/>
      <c r="I535" s="46"/>
    </row>
    <row r="536" ht="15.75" customHeight="1">
      <c r="A536" s="46"/>
      <c r="H536" s="46"/>
      <c r="I536" s="46"/>
    </row>
    <row r="537" ht="15.75" customHeight="1">
      <c r="A537" s="46"/>
      <c r="H537" s="46"/>
      <c r="I537" s="46"/>
    </row>
    <row r="538" ht="15.75" customHeight="1">
      <c r="A538" s="46"/>
      <c r="H538" s="46"/>
      <c r="I538" s="46"/>
    </row>
    <row r="539" ht="15.75" customHeight="1">
      <c r="A539" s="46"/>
      <c r="H539" s="46"/>
      <c r="I539" s="46"/>
    </row>
    <row r="540" ht="15.75" customHeight="1">
      <c r="A540" s="46"/>
      <c r="H540" s="46"/>
      <c r="I540" s="46"/>
    </row>
    <row r="541" ht="15.75" customHeight="1">
      <c r="A541" s="46"/>
      <c r="H541" s="46"/>
      <c r="I541" s="46"/>
    </row>
    <row r="542" ht="15.75" customHeight="1">
      <c r="A542" s="46"/>
      <c r="H542" s="46"/>
      <c r="I542" s="46"/>
    </row>
    <row r="543" ht="15.75" customHeight="1">
      <c r="A543" s="46"/>
      <c r="H543" s="46"/>
      <c r="I543" s="46"/>
    </row>
    <row r="544" ht="15.75" customHeight="1">
      <c r="A544" s="46"/>
      <c r="H544" s="46"/>
      <c r="I544" s="46"/>
    </row>
    <row r="545" ht="15.75" customHeight="1">
      <c r="A545" s="46"/>
      <c r="H545" s="46"/>
      <c r="I545" s="46"/>
    </row>
    <row r="546" ht="15.75" customHeight="1">
      <c r="A546" s="46"/>
      <c r="H546" s="46"/>
      <c r="I546" s="46"/>
    </row>
    <row r="547" ht="15.75" customHeight="1">
      <c r="A547" s="46"/>
      <c r="H547" s="46"/>
      <c r="I547" s="46"/>
    </row>
    <row r="548" ht="15.75" customHeight="1">
      <c r="A548" s="46"/>
      <c r="H548" s="46"/>
      <c r="I548" s="46"/>
    </row>
    <row r="549" ht="15.75" customHeight="1">
      <c r="A549" s="46"/>
      <c r="H549" s="46"/>
      <c r="I549" s="46"/>
    </row>
    <row r="550" ht="15.75" customHeight="1">
      <c r="A550" s="46"/>
      <c r="H550" s="46"/>
      <c r="I550" s="46"/>
    </row>
    <row r="551" ht="15.75" customHeight="1">
      <c r="A551" s="46"/>
      <c r="H551" s="46"/>
      <c r="I551" s="46"/>
    </row>
    <row r="552" ht="15.75" customHeight="1">
      <c r="A552" s="46"/>
      <c r="H552" s="46"/>
      <c r="I552" s="46"/>
    </row>
    <row r="553" ht="15.75" customHeight="1">
      <c r="A553" s="46"/>
      <c r="H553" s="46"/>
      <c r="I553" s="46"/>
    </row>
    <row r="554" ht="15.75" customHeight="1">
      <c r="A554" s="46"/>
      <c r="H554" s="46"/>
      <c r="I554" s="46"/>
    </row>
    <row r="555" ht="15.75" customHeight="1">
      <c r="A555" s="46"/>
      <c r="H555" s="46"/>
      <c r="I555" s="46"/>
    </row>
    <row r="556" ht="15.75" customHeight="1">
      <c r="A556" s="46"/>
      <c r="H556" s="46"/>
      <c r="I556" s="46"/>
    </row>
    <row r="557" ht="15.75" customHeight="1">
      <c r="A557" s="46"/>
      <c r="H557" s="46"/>
      <c r="I557" s="46"/>
    </row>
    <row r="558" ht="15.75" customHeight="1">
      <c r="A558" s="46"/>
      <c r="H558" s="46"/>
      <c r="I558" s="46"/>
    </row>
    <row r="559" ht="15.75" customHeight="1">
      <c r="A559" s="46"/>
      <c r="H559" s="46"/>
      <c r="I559" s="46"/>
    </row>
    <row r="560" ht="15.75" customHeight="1">
      <c r="A560" s="46"/>
      <c r="H560" s="46"/>
      <c r="I560" s="46"/>
    </row>
    <row r="561" ht="15.75" customHeight="1">
      <c r="A561" s="46"/>
      <c r="H561" s="46"/>
      <c r="I561" s="46"/>
    </row>
    <row r="562" ht="15.75" customHeight="1">
      <c r="A562" s="46"/>
      <c r="H562" s="46"/>
      <c r="I562" s="46"/>
    </row>
    <row r="563" ht="15.75" customHeight="1">
      <c r="A563" s="46"/>
      <c r="H563" s="46"/>
      <c r="I563" s="46"/>
    </row>
    <row r="564" ht="15.75" customHeight="1">
      <c r="A564" s="46"/>
      <c r="H564" s="46"/>
      <c r="I564" s="46"/>
    </row>
    <row r="565" ht="15.75" customHeight="1">
      <c r="A565" s="46"/>
      <c r="H565" s="46"/>
      <c r="I565" s="46"/>
    </row>
    <row r="566" ht="15.75" customHeight="1">
      <c r="A566" s="46"/>
      <c r="H566" s="46"/>
      <c r="I566" s="46"/>
    </row>
    <row r="567" ht="15.75" customHeight="1">
      <c r="A567" s="46"/>
      <c r="H567" s="46"/>
      <c r="I567" s="46"/>
    </row>
    <row r="568" ht="15.75" customHeight="1">
      <c r="A568" s="46"/>
      <c r="H568" s="46"/>
      <c r="I568" s="46"/>
    </row>
    <row r="569" ht="15.75" customHeight="1">
      <c r="A569" s="46"/>
      <c r="H569" s="46"/>
      <c r="I569" s="46"/>
    </row>
    <row r="570" ht="15.75" customHeight="1">
      <c r="A570" s="46"/>
      <c r="H570" s="46"/>
      <c r="I570" s="46"/>
    </row>
    <row r="571" ht="15.75" customHeight="1">
      <c r="A571" s="46"/>
      <c r="H571" s="46"/>
      <c r="I571" s="46"/>
    </row>
    <row r="572" ht="15.75" customHeight="1">
      <c r="A572" s="46"/>
      <c r="H572" s="46"/>
      <c r="I572" s="46"/>
    </row>
    <row r="573" ht="15.75" customHeight="1">
      <c r="A573" s="46"/>
      <c r="H573" s="46"/>
      <c r="I573" s="46"/>
    </row>
    <row r="574" ht="15.75" customHeight="1">
      <c r="A574" s="46"/>
      <c r="H574" s="46"/>
      <c r="I574" s="46"/>
    </row>
    <row r="575" ht="15.75" customHeight="1">
      <c r="A575" s="46"/>
      <c r="H575" s="46"/>
      <c r="I575" s="46"/>
    </row>
    <row r="576" ht="15.75" customHeight="1">
      <c r="A576" s="46"/>
      <c r="H576" s="46"/>
      <c r="I576" s="46"/>
    </row>
    <row r="577" ht="15.75" customHeight="1">
      <c r="A577" s="46"/>
      <c r="H577" s="46"/>
      <c r="I577" s="46"/>
    </row>
    <row r="578" ht="15.75" customHeight="1">
      <c r="A578" s="46"/>
      <c r="H578" s="46"/>
      <c r="I578" s="46"/>
    </row>
    <row r="579" ht="15.75" customHeight="1">
      <c r="A579" s="46"/>
      <c r="H579" s="46"/>
      <c r="I579" s="46"/>
    </row>
    <row r="580" ht="15.75" customHeight="1">
      <c r="A580" s="46"/>
      <c r="H580" s="46"/>
      <c r="I580" s="46"/>
    </row>
    <row r="581" ht="15.75" customHeight="1">
      <c r="A581" s="46"/>
      <c r="H581" s="46"/>
      <c r="I581" s="46"/>
    </row>
    <row r="582" ht="15.75" customHeight="1">
      <c r="A582" s="46"/>
      <c r="H582" s="46"/>
      <c r="I582" s="46"/>
    </row>
    <row r="583" ht="15.75" customHeight="1">
      <c r="A583" s="46"/>
      <c r="H583" s="46"/>
      <c r="I583" s="46"/>
    </row>
    <row r="584" ht="15.75" customHeight="1">
      <c r="A584" s="46"/>
      <c r="H584" s="46"/>
      <c r="I584" s="46"/>
    </row>
    <row r="585" ht="15.75" customHeight="1">
      <c r="A585" s="46"/>
      <c r="H585" s="46"/>
      <c r="I585" s="46"/>
    </row>
    <row r="586" ht="15.75" customHeight="1">
      <c r="A586" s="46"/>
      <c r="H586" s="46"/>
      <c r="I586" s="46"/>
    </row>
    <row r="587" ht="15.75" customHeight="1">
      <c r="A587" s="46"/>
      <c r="H587" s="46"/>
      <c r="I587" s="46"/>
    </row>
    <row r="588" ht="15.75" customHeight="1">
      <c r="A588" s="46"/>
      <c r="H588" s="46"/>
      <c r="I588" s="46"/>
    </row>
    <row r="589" ht="15.75" customHeight="1">
      <c r="A589" s="46"/>
      <c r="H589" s="46"/>
      <c r="I589" s="46"/>
    </row>
    <row r="590" ht="15.75" customHeight="1">
      <c r="A590" s="46"/>
      <c r="H590" s="46"/>
      <c r="I590" s="46"/>
    </row>
    <row r="591" ht="15.75" customHeight="1">
      <c r="A591" s="46"/>
      <c r="H591" s="46"/>
      <c r="I591" s="46"/>
    </row>
    <row r="592" ht="15.75" customHeight="1">
      <c r="A592" s="46"/>
      <c r="H592" s="46"/>
      <c r="I592" s="46"/>
    </row>
    <row r="593" ht="15.75" customHeight="1">
      <c r="A593" s="46"/>
      <c r="H593" s="46"/>
      <c r="I593" s="46"/>
    </row>
    <row r="594" ht="15.75" customHeight="1">
      <c r="A594" s="46"/>
      <c r="H594" s="46"/>
      <c r="I594" s="46"/>
    </row>
    <row r="595" ht="15.75" customHeight="1">
      <c r="A595" s="46"/>
      <c r="H595" s="46"/>
      <c r="I595" s="46"/>
    </row>
    <row r="596" ht="15.75" customHeight="1">
      <c r="A596" s="46"/>
      <c r="H596" s="46"/>
      <c r="I596" s="46"/>
    </row>
    <row r="597" ht="15.75" customHeight="1">
      <c r="A597" s="46"/>
      <c r="H597" s="46"/>
      <c r="I597" s="46"/>
    </row>
    <row r="598" ht="15.75" customHeight="1">
      <c r="A598" s="46"/>
      <c r="H598" s="46"/>
      <c r="I598" s="46"/>
    </row>
    <row r="599" ht="15.75" customHeight="1">
      <c r="A599" s="46"/>
      <c r="H599" s="46"/>
      <c r="I599" s="46"/>
    </row>
    <row r="600" ht="15.75" customHeight="1">
      <c r="A600" s="46"/>
      <c r="H600" s="46"/>
      <c r="I600" s="46"/>
    </row>
    <row r="601" ht="15.75" customHeight="1">
      <c r="A601" s="46"/>
      <c r="H601" s="46"/>
      <c r="I601" s="46"/>
    </row>
    <row r="602" ht="15.75" customHeight="1">
      <c r="A602" s="46"/>
      <c r="H602" s="46"/>
      <c r="I602" s="46"/>
    </row>
    <row r="603" ht="15.75" customHeight="1">
      <c r="A603" s="46"/>
      <c r="H603" s="46"/>
      <c r="I603" s="46"/>
    </row>
    <row r="604" ht="15.75" customHeight="1">
      <c r="A604" s="46"/>
      <c r="H604" s="46"/>
      <c r="I604" s="46"/>
    </row>
    <row r="605" ht="15.75" customHeight="1">
      <c r="A605" s="46"/>
      <c r="H605" s="46"/>
      <c r="I605" s="46"/>
    </row>
    <row r="606" ht="15.75" customHeight="1">
      <c r="A606" s="46"/>
      <c r="H606" s="46"/>
      <c r="I606" s="46"/>
    </row>
    <row r="607" ht="15.75" customHeight="1">
      <c r="A607" s="46"/>
      <c r="H607" s="46"/>
      <c r="I607" s="46"/>
    </row>
    <row r="608" ht="15.75" customHeight="1">
      <c r="A608" s="46"/>
      <c r="H608" s="46"/>
      <c r="I608" s="46"/>
    </row>
    <row r="609" ht="15.75" customHeight="1">
      <c r="A609" s="46"/>
      <c r="H609" s="46"/>
      <c r="I609" s="46"/>
    </row>
    <row r="610" ht="15.75" customHeight="1">
      <c r="A610" s="46"/>
      <c r="H610" s="46"/>
      <c r="I610" s="46"/>
    </row>
    <row r="611" ht="15.75" customHeight="1">
      <c r="A611" s="46"/>
      <c r="H611" s="46"/>
      <c r="I611" s="46"/>
    </row>
    <row r="612" ht="15.75" customHeight="1">
      <c r="A612" s="46"/>
      <c r="H612" s="46"/>
      <c r="I612" s="46"/>
    </row>
    <row r="613" ht="15.75" customHeight="1">
      <c r="A613" s="46"/>
      <c r="H613" s="46"/>
      <c r="I613" s="46"/>
    </row>
    <row r="614" ht="15.75" customHeight="1">
      <c r="A614" s="46"/>
      <c r="H614" s="46"/>
      <c r="I614" s="46"/>
    </row>
    <row r="615" ht="15.75" customHeight="1">
      <c r="A615" s="46"/>
      <c r="H615" s="46"/>
      <c r="I615" s="46"/>
    </row>
    <row r="616" ht="15.75" customHeight="1">
      <c r="A616" s="46"/>
      <c r="H616" s="46"/>
      <c r="I616" s="46"/>
    </row>
    <row r="617" ht="15.75" customHeight="1">
      <c r="A617" s="46"/>
      <c r="H617" s="46"/>
      <c r="I617" s="46"/>
    </row>
    <row r="618" ht="15.75" customHeight="1">
      <c r="A618" s="46"/>
      <c r="H618" s="46"/>
      <c r="I618" s="46"/>
    </row>
    <row r="619" ht="15.75" customHeight="1">
      <c r="A619" s="46"/>
      <c r="H619" s="46"/>
      <c r="I619" s="46"/>
    </row>
    <row r="620" ht="15.75" customHeight="1">
      <c r="A620" s="46"/>
      <c r="H620" s="46"/>
      <c r="I620" s="46"/>
    </row>
    <row r="621" ht="15.75" customHeight="1">
      <c r="A621" s="46"/>
      <c r="H621" s="46"/>
      <c r="I621" s="46"/>
    </row>
    <row r="622" ht="15.75" customHeight="1">
      <c r="A622" s="46"/>
      <c r="H622" s="46"/>
      <c r="I622" s="46"/>
    </row>
    <row r="623" ht="15.75" customHeight="1">
      <c r="A623" s="46"/>
      <c r="H623" s="46"/>
      <c r="I623" s="46"/>
    </row>
    <row r="624" ht="15.75" customHeight="1">
      <c r="A624" s="46"/>
      <c r="H624" s="46"/>
      <c r="I624" s="46"/>
    </row>
    <row r="625" ht="15.75" customHeight="1">
      <c r="A625" s="46"/>
      <c r="H625" s="46"/>
      <c r="I625" s="46"/>
    </row>
    <row r="626" ht="15.75" customHeight="1">
      <c r="A626" s="46"/>
      <c r="H626" s="46"/>
      <c r="I626" s="46"/>
    </row>
    <row r="627" ht="15.75" customHeight="1">
      <c r="A627" s="46"/>
      <c r="H627" s="46"/>
      <c r="I627" s="46"/>
    </row>
    <row r="628" ht="15.75" customHeight="1">
      <c r="A628" s="46"/>
      <c r="H628" s="46"/>
      <c r="I628" s="46"/>
    </row>
    <row r="629" ht="15.75" customHeight="1">
      <c r="A629" s="46"/>
      <c r="H629" s="46"/>
      <c r="I629" s="46"/>
    </row>
    <row r="630" ht="15.75" customHeight="1">
      <c r="A630" s="46"/>
      <c r="H630" s="46"/>
      <c r="I630" s="46"/>
    </row>
    <row r="631" ht="15.75" customHeight="1">
      <c r="A631" s="46"/>
      <c r="H631" s="46"/>
      <c r="I631" s="46"/>
    </row>
    <row r="632" ht="15.75" customHeight="1">
      <c r="A632" s="46"/>
      <c r="H632" s="46"/>
      <c r="I632" s="46"/>
    </row>
    <row r="633" ht="15.75" customHeight="1">
      <c r="A633" s="46"/>
      <c r="H633" s="46"/>
      <c r="I633" s="46"/>
    </row>
    <row r="634" ht="15.75" customHeight="1">
      <c r="A634" s="46"/>
      <c r="H634" s="46"/>
      <c r="I634" s="46"/>
    </row>
    <row r="635" ht="15.75" customHeight="1">
      <c r="A635" s="46"/>
      <c r="H635" s="46"/>
      <c r="I635" s="46"/>
    </row>
    <row r="636" ht="15.75" customHeight="1">
      <c r="A636" s="46"/>
      <c r="H636" s="46"/>
      <c r="I636" s="46"/>
    </row>
    <row r="637" ht="15.75" customHeight="1">
      <c r="A637" s="46"/>
      <c r="H637" s="46"/>
      <c r="I637" s="46"/>
    </row>
    <row r="638" ht="15.75" customHeight="1">
      <c r="A638" s="46"/>
      <c r="H638" s="46"/>
      <c r="I638" s="46"/>
    </row>
    <row r="639" ht="15.75" customHeight="1">
      <c r="A639" s="46"/>
      <c r="H639" s="46"/>
      <c r="I639" s="46"/>
    </row>
    <row r="640" ht="15.75" customHeight="1">
      <c r="A640" s="46"/>
      <c r="H640" s="46"/>
      <c r="I640" s="46"/>
    </row>
    <row r="641" ht="15.75" customHeight="1">
      <c r="A641" s="46"/>
      <c r="H641" s="46"/>
      <c r="I641" s="46"/>
    </row>
    <row r="642" ht="15.75" customHeight="1">
      <c r="A642" s="46"/>
      <c r="H642" s="46"/>
      <c r="I642" s="46"/>
    </row>
    <row r="643" ht="15.75" customHeight="1">
      <c r="A643" s="46"/>
      <c r="H643" s="46"/>
      <c r="I643" s="46"/>
    </row>
    <row r="644" ht="15.75" customHeight="1">
      <c r="A644" s="46"/>
      <c r="H644" s="46"/>
      <c r="I644" s="46"/>
    </row>
    <row r="645" ht="15.75" customHeight="1">
      <c r="A645" s="46"/>
      <c r="H645" s="46"/>
      <c r="I645" s="46"/>
    </row>
    <row r="646" ht="15.75" customHeight="1">
      <c r="A646" s="46"/>
      <c r="H646" s="46"/>
      <c r="I646" s="46"/>
    </row>
    <row r="647" ht="15.75" customHeight="1">
      <c r="A647" s="46"/>
      <c r="H647" s="46"/>
      <c r="I647" s="46"/>
    </row>
    <row r="648" ht="15.75" customHeight="1">
      <c r="A648" s="46"/>
      <c r="H648" s="46"/>
      <c r="I648" s="46"/>
    </row>
    <row r="649" ht="15.75" customHeight="1">
      <c r="A649" s="46"/>
      <c r="H649" s="46"/>
      <c r="I649" s="46"/>
    </row>
    <row r="650" ht="15.75" customHeight="1">
      <c r="A650" s="46"/>
      <c r="H650" s="46"/>
      <c r="I650" s="46"/>
    </row>
    <row r="651" ht="15.75" customHeight="1">
      <c r="A651" s="46"/>
      <c r="H651" s="46"/>
      <c r="I651" s="46"/>
    </row>
    <row r="652" ht="15.75" customHeight="1">
      <c r="A652" s="46"/>
      <c r="H652" s="46"/>
      <c r="I652" s="46"/>
    </row>
    <row r="653" ht="15.75" customHeight="1">
      <c r="A653" s="46"/>
      <c r="H653" s="46"/>
      <c r="I653" s="46"/>
    </row>
    <row r="654" ht="15.75" customHeight="1">
      <c r="A654" s="46"/>
      <c r="H654" s="46"/>
      <c r="I654" s="46"/>
    </row>
    <row r="655" ht="15.75" customHeight="1">
      <c r="A655" s="46"/>
      <c r="H655" s="46"/>
      <c r="I655" s="46"/>
    </row>
    <row r="656" ht="15.75" customHeight="1">
      <c r="A656" s="46"/>
      <c r="H656" s="46"/>
      <c r="I656" s="46"/>
    </row>
    <row r="657" ht="15.75" customHeight="1">
      <c r="A657" s="46"/>
      <c r="H657" s="46"/>
      <c r="I657" s="46"/>
    </row>
    <row r="658" ht="15.75" customHeight="1">
      <c r="A658" s="46"/>
      <c r="H658" s="46"/>
      <c r="I658" s="46"/>
    </row>
    <row r="659" ht="15.75" customHeight="1">
      <c r="A659" s="46"/>
      <c r="H659" s="46"/>
      <c r="I659" s="46"/>
    </row>
    <row r="660" ht="15.75" customHeight="1">
      <c r="A660" s="46"/>
      <c r="H660" s="46"/>
      <c r="I660" s="46"/>
    </row>
    <row r="661" ht="15.75" customHeight="1">
      <c r="A661" s="46"/>
      <c r="H661" s="46"/>
      <c r="I661" s="46"/>
    </row>
    <row r="662" ht="15.75" customHeight="1">
      <c r="A662" s="46"/>
      <c r="H662" s="46"/>
      <c r="I662" s="46"/>
    </row>
    <row r="663" ht="15.75" customHeight="1">
      <c r="A663" s="46"/>
      <c r="H663" s="46"/>
      <c r="I663" s="46"/>
    </row>
    <row r="664" ht="15.75" customHeight="1">
      <c r="A664" s="46"/>
      <c r="H664" s="46"/>
      <c r="I664" s="46"/>
    </row>
    <row r="665" ht="15.75" customHeight="1">
      <c r="A665" s="46"/>
      <c r="H665" s="46"/>
      <c r="I665" s="46"/>
    </row>
    <row r="666" ht="15.75" customHeight="1">
      <c r="A666" s="46"/>
      <c r="H666" s="46"/>
      <c r="I666" s="46"/>
    </row>
    <row r="667" ht="15.75" customHeight="1">
      <c r="A667" s="46"/>
      <c r="H667" s="46"/>
      <c r="I667" s="46"/>
    </row>
    <row r="668" ht="15.75" customHeight="1">
      <c r="A668" s="46"/>
      <c r="H668" s="46"/>
      <c r="I668" s="46"/>
    </row>
    <row r="669" ht="15.75" customHeight="1">
      <c r="A669" s="46"/>
      <c r="H669" s="46"/>
      <c r="I669" s="46"/>
    </row>
    <row r="670" ht="15.75" customHeight="1">
      <c r="A670" s="46"/>
      <c r="H670" s="46"/>
      <c r="I670" s="46"/>
    </row>
    <row r="671" ht="15.75" customHeight="1">
      <c r="A671" s="46"/>
      <c r="H671" s="46"/>
      <c r="I671" s="46"/>
    </row>
    <row r="672" ht="15.75" customHeight="1">
      <c r="A672" s="46"/>
      <c r="H672" s="46"/>
      <c r="I672" s="46"/>
    </row>
    <row r="673" ht="15.75" customHeight="1">
      <c r="A673" s="46"/>
      <c r="H673" s="46"/>
      <c r="I673" s="46"/>
    </row>
    <row r="674" ht="15.75" customHeight="1">
      <c r="A674" s="46"/>
      <c r="H674" s="46"/>
      <c r="I674" s="46"/>
    </row>
    <row r="675" ht="15.75" customHeight="1">
      <c r="A675" s="46"/>
      <c r="H675" s="46"/>
      <c r="I675" s="46"/>
    </row>
    <row r="676" ht="15.75" customHeight="1">
      <c r="A676" s="46"/>
      <c r="H676" s="46"/>
      <c r="I676" s="46"/>
    </row>
    <row r="677" ht="15.75" customHeight="1">
      <c r="A677" s="46"/>
      <c r="H677" s="46"/>
      <c r="I677" s="46"/>
    </row>
    <row r="678" ht="15.75" customHeight="1">
      <c r="A678" s="46"/>
      <c r="H678" s="46"/>
      <c r="I678" s="46"/>
    </row>
    <row r="679" ht="15.75" customHeight="1">
      <c r="A679" s="46"/>
      <c r="H679" s="46"/>
      <c r="I679" s="46"/>
    </row>
    <row r="680" ht="15.75" customHeight="1">
      <c r="A680" s="46"/>
      <c r="H680" s="46"/>
      <c r="I680" s="46"/>
    </row>
    <row r="681" ht="15.75" customHeight="1">
      <c r="A681" s="46"/>
      <c r="H681" s="46"/>
      <c r="I681" s="46"/>
    </row>
    <row r="682" ht="15.75" customHeight="1">
      <c r="A682" s="46"/>
      <c r="H682" s="46"/>
      <c r="I682" s="46"/>
    </row>
    <row r="683" ht="15.75" customHeight="1">
      <c r="A683" s="46"/>
      <c r="H683" s="46"/>
      <c r="I683" s="46"/>
    </row>
    <row r="684" ht="15.75" customHeight="1">
      <c r="A684" s="46"/>
      <c r="H684" s="46"/>
      <c r="I684" s="46"/>
    </row>
    <row r="685" ht="15.75" customHeight="1">
      <c r="A685" s="46"/>
      <c r="H685" s="46"/>
      <c r="I685" s="46"/>
    </row>
    <row r="686" ht="15.75" customHeight="1">
      <c r="A686" s="46"/>
      <c r="H686" s="46"/>
      <c r="I686" s="46"/>
    </row>
    <row r="687" ht="15.75" customHeight="1">
      <c r="A687" s="46"/>
      <c r="H687" s="46"/>
      <c r="I687" s="46"/>
    </row>
    <row r="688" ht="15.75" customHeight="1">
      <c r="A688" s="46"/>
      <c r="H688" s="46"/>
      <c r="I688" s="46"/>
    </row>
    <row r="689" ht="15.75" customHeight="1">
      <c r="A689" s="46"/>
      <c r="H689" s="46"/>
      <c r="I689" s="46"/>
    </row>
    <row r="690" ht="15.75" customHeight="1">
      <c r="A690" s="46"/>
      <c r="H690" s="46"/>
      <c r="I690" s="46"/>
    </row>
    <row r="691" ht="15.75" customHeight="1">
      <c r="A691" s="46"/>
      <c r="H691" s="46"/>
      <c r="I691" s="46"/>
    </row>
    <row r="692" ht="15.75" customHeight="1">
      <c r="A692" s="46"/>
      <c r="H692" s="46"/>
      <c r="I692" s="46"/>
    </row>
    <row r="693" ht="15.75" customHeight="1">
      <c r="A693" s="46"/>
      <c r="H693" s="46"/>
      <c r="I693" s="46"/>
    </row>
    <row r="694" ht="15.75" customHeight="1">
      <c r="A694" s="46"/>
      <c r="H694" s="46"/>
      <c r="I694" s="46"/>
    </row>
    <row r="695" ht="15.75" customHeight="1">
      <c r="A695" s="46"/>
      <c r="H695" s="46"/>
      <c r="I695" s="46"/>
    </row>
    <row r="696" ht="15.75" customHeight="1">
      <c r="A696" s="46"/>
      <c r="H696" s="46"/>
      <c r="I696" s="46"/>
    </row>
    <row r="697" ht="15.75" customHeight="1">
      <c r="A697" s="46"/>
      <c r="H697" s="46"/>
      <c r="I697" s="46"/>
    </row>
    <row r="698" ht="15.75" customHeight="1">
      <c r="A698" s="46"/>
      <c r="H698" s="46"/>
      <c r="I698" s="46"/>
    </row>
    <row r="699" ht="15.75" customHeight="1">
      <c r="A699" s="46"/>
      <c r="H699" s="46"/>
      <c r="I699" s="46"/>
    </row>
    <row r="700" ht="15.75" customHeight="1">
      <c r="A700" s="46"/>
      <c r="H700" s="46"/>
      <c r="I700" s="46"/>
    </row>
    <row r="701" ht="15.75" customHeight="1">
      <c r="A701" s="46"/>
      <c r="H701" s="46"/>
      <c r="I701" s="46"/>
    </row>
    <row r="702" ht="15.75" customHeight="1">
      <c r="A702" s="46"/>
      <c r="H702" s="46"/>
      <c r="I702" s="46"/>
    </row>
    <row r="703" ht="15.75" customHeight="1">
      <c r="A703" s="46"/>
      <c r="H703" s="46"/>
      <c r="I703" s="46"/>
    </row>
    <row r="704" ht="15.75" customHeight="1">
      <c r="A704" s="46"/>
      <c r="H704" s="46"/>
      <c r="I704" s="46"/>
    </row>
    <row r="705" ht="15.75" customHeight="1">
      <c r="A705" s="46"/>
      <c r="H705" s="46"/>
      <c r="I705" s="46"/>
    </row>
    <row r="706" ht="15.75" customHeight="1">
      <c r="A706" s="46"/>
      <c r="H706" s="46"/>
      <c r="I706" s="46"/>
    </row>
    <row r="707" ht="15.75" customHeight="1">
      <c r="A707" s="46"/>
      <c r="H707" s="46"/>
      <c r="I707" s="46"/>
    </row>
    <row r="708" ht="15.75" customHeight="1">
      <c r="A708" s="46"/>
      <c r="H708" s="46"/>
      <c r="I708" s="46"/>
    </row>
    <row r="709" ht="15.75" customHeight="1">
      <c r="A709" s="46"/>
      <c r="H709" s="46"/>
      <c r="I709" s="46"/>
    </row>
    <row r="710" ht="15.75" customHeight="1">
      <c r="A710" s="46"/>
      <c r="H710" s="46"/>
      <c r="I710" s="46"/>
    </row>
    <row r="711" ht="15.75" customHeight="1">
      <c r="A711" s="46"/>
      <c r="H711" s="46"/>
      <c r="I711" s="46"/>
    </row>
    <row r="712" ht="15.75" customHeight="1">
      <c r="A712" s="46"/>
      <c r="H712" s="46"/>
      <c r="I712" s="46"/>
    </row>
    <row r="713" ht="15.75" customHeight="1">
      <c r="A713" s="46"/>
      <c r="H713" s="46"/>
      <c r="I713" s="46"/>
    </row>
    <row r="714" ht="15.75" customHeight="1">
      <c r="A714" s="46"/>
      <c r="H714" s="46"/>
      <c r="I714" s="46"/>
    </row>
    <row r="715" ht="15.75" customHeight="1">
      <c r="A715" s="46"/>
      <c r="H715" s="46"/>
      <c r="I715" s="46"/>
    </row>
    <row r="716" ht="15.75" customHeight="1">
      <c r="A716" s="46"/>
      <c r="H716" s="46"/>
      <c r="I716" s="46"/>
    </row>
    <row r="717" ht="15.75" customHeight="1">
      <c r="A717" s="46"/>
      <c r="H717" s="46"/>
      <c r="I717" s="46"/>
    </row>
    <row r="718" ht="15.75" customHeight="1">
      <c r="A718" s="46"/>
      <c r="H718" s="46"/>
      <c r="I718" s="46"/>
    </row>
    <row r="719" ht="15.75" customHeight="1">
      <c r="A719" s="46"/>
      <c r="H719" s="46"/>
      <c r="I719" s="46"/>
    </row>
    <row r="720" ht="15.75" customHeight="1">
      <c r="A720" s="46"/>
      <c r="H720" s="46"/>
      <c r="I720" s="46"/>
    </row>
    <row r="721" ht="15.75" customHeight="1">
      <c r="A721" s="46"/>
      <c r="H721" s="46"/>
      <c r="I721" s="46"/>
    </row>
    <row r="722" ht="15.75" customHeight="1">
      <c r="A722" s="46"/>
      <c r="H722" s="46"/>
      <c r="I722" s="46"/>
    </row>
    <row r="723" ht="15.75" customHeight="1">
      <c r="A723" s="46"/>
      <c r="H723" s="46"/>
      <c r="I723" s="46"/>
    </row>
    <row r="724" ht="15.75" customHeight="1">
      <c r="A724" s="46"/>
      <c r="H724" s="46"/>
      <c r="I724" s="46"/>
    </row>
    <row r="725" ht="15.75" customHeight="1">
      <c r="A725" s="46"/>
      <c r="H725" s="46"/>
      <c r="I725" s="46"/>
    </row>
    <row r="726" ht="15.75" customHeight="1">
      <c r="A726" s="46"/>
      <c r="H726" s="46"/>
      <c r="I726" s="46"/>
    </row>
    <row r="727" ht="15.75" customHeight="1">
      <c r="A727" s="46"/>
      <c r="H727" s="46"/>
      <c r="I727" s="46"/>
    </row>
    <row r="728" ht="15.75" customHeight="1">
      <c r="A728" s="46"/>
      <c r="H728" s="46"/>
      <c r="I728" s="46"/>
    </row>
    <row r="729" ht="15.75" customHeight="1">
      <c r="A729" s="46"/>
      <c r="H729" s="46"/>
      <c r="I729" s="46"/>
    </row>
    <row r="730" ht="15.75" customHeight="1">
      <c r="A730" s="46"/>
      <c r="H730" s="46"/>
      <c r="I730" s="46"/>
    </row>
    <row r="731" ht="15.75" customHeight="1">
      <c r="A731" s="46"/>
      <c r="H731" s="46"/>
      <c r="I731" s="46"/>
    </row>
    <row r="732" ht="15.75" customHeight="1">
      <c r="A732" s="46"/>
      <c r="H732" s="46"/>
      <c r="I732" s="46"/>
    </row>
    <row r="733" ht="15.75" customHeight="1">
      <c r="A733" s="46"/>
      <c r="H733" s="46"/>
      <c r="I733" s="46"/>
    </row>
    <row r="734" ht="15.75" customHeight="1">
      <c r="A734" s="46"/>
      <c r="H734" s="46"/>
      <c r="I734" s="46"/>
    </row>
    <row r="735" ht="15.75" customHeight="1">
      <c r="A735" s="46"/>
      <c r="H735" s="46"/>
      <c r="I735" s="46"/>
    </row>
    <row r="736" ht="15.75" customHeight="1">
      <c r="A736" s="46"/>
      <c r="H736" s="46"/>
      <c r="I736" s="46"/>
    </row>
    <row r="737" ht="15.75" customHeight="1">
      <c r="A737" s="46"/>
      <c r="H737" s="46"/>
      <c r="I737" s="46"/>
    </row>
    <row r="738" ht="15.75" customHeight="1">
      <c r="A738" s="46"/>
      <c r="H738" s="46"/>
      <c r="I738" s="46"/>
    </row>
    <row r="739" ht="15.75" customHeight="1">
      <c r="A739" s="46"/>
      <c r="H739" s="46"/>
      <c r="I739" s="46"/>
    </row>
    <row r="740" ht="15.75" customHeight="1">
      <c r="A740" s="46"/>
      <c r="H740" s="46"/>
      <c r="I740" s="46"/>
    </row>
    <row r="741" ht="15.75" customHeight="1">
      <c r="A741" s="46"/>
      <c r="H741" s="46"/>
      <c r="I741" s="46"/>
    </row>
    <row r="742" ht="15.75" customHeight="1">
      <c r="A742" s="46"/>
      <c r="H742" s="46"/>
      <c r="I742" s="46"/>
    </row>
    <row r="743" ht="15.75" customHeight="1">
      <c r="A743" s="46"/>
      <c r="H743" s="46"/>
      <c r="I743" s="46"/>
    </row>
    <row r="744" ht="15.75" customHeight="1">
      <c r="A744" s="46"/>
      <c r="H744" s="46"/>
      <c r="I744" s="46"/>
    </row>
    <row r="745" ht="15.75" customHeight="1">
      <c r="A745" s="46"/>
      <c r="H745" s="46"/>
      <c r="I745" s="46"/>
    </row>
    <row r="746" ht="15.75" customHeight="1">
      <c r="A746" s="46"/>
      <c r="H746" s="46"/>
      <c r="I746" s="46"/>
    </row>
    <row r="747" ht="15.75" customHeight="1">
      <c r="A747" s="46"/>
      <c r="H747" s="46"/>
      <c r="I747" s="46"/>
    </row>
    <row r="748" ht="15.75" customHeight="1">
      <c r="A748" s="46"/>
      <c r="H748" s="46"/>
      <c r="I748" s="46"/>
    </row>
    <row r="749" ht="15.75" customHeight="1">
      <c r="A749" s="46"/>
      <c r="H749" s="46"/>
      <c r="I749" s="46"/>
    </row>
    <row r="750" ht="15.75" customHeight="1">
      <c r="A750" s="46"/>
      <c r="H750" s="46"/>
      <c r="I750" s="46"/>
    </row>
    <row r="751" ht="15.75" customHeight="1">
      <c r="A751" s="46"/>
      <c r="H751" s="46"/>
      <c r="I751" s="46"/>
    </row>
    <row r="752" ht="15.75" customHeight="1">
      <c r="A752" s="46"/>
      <c r="H752" s="46"/>
      <c r="I752" s="46"/>
    </row>
    <row r="753" ht="15.75" customHeight="1">
      <c r="A753" s="46"/>
      <c r="H753" s="46"/>
      <c r="I753" s="46"/>
    </row>
    <row r="754" ht="15.75" customHeight="1">
      <c r="A754" s="46"/>
      <c r="H754" s="46"/>
      <c r="I754" s="46"/>
    </row>
    <row r="755" ht="15.75" customHeight="1">
      <c r="A755" s="46"/>
      <c r="H755" s="46"/>
      <c r="I755" s="46"/>
    </row>
    <row r="756" ht="15.75" customHeight="1">
      <c r="A756" s="46"/>
      <c r="H756" s="46"/>
      <c r="I756" s="46"/>
    </row>
    <row r="757" ht="15.75" customHeight="1">
      <c r="A757" s="46"/>
      <c r="H757" s="46"/>
      <c r="I757" s="46"/>
    </row>
    <row r="758" ht="15.75" customHeight="1">
      <c r="A758" s="46"/>
      <c r="H758" s="46"/>
      <c r="I758" s="46"/>
    </row>
    <row r="759" ht="15.75" customHeight="1">
      <c r="A759" s="46"/>
      <c r="H759" s="46"/>
      <c r="I759" s="46"/>
    </row>
    <row r="760" ht="15.75" customHeight="1">
      <c r="A760" s="46"/>
      <c r="H760" s="46"/>
      <c r="I760" s="46"/>
    </row>
    <row r="761" ht="15.75" customHeight="1">
      <c r="A761" s="46"/>
      <c r="H761" s="46"/>
      <c r="I761" s="46"/>
    </row>
    <row r="762" ht="15.75" customHeight="1">
      <c r="A762" s="46"/>
      <c r="H762" s="46"/>
      <c r="I762" s="46"/>
    </row>
    <row r="763" ht="15.75" customHeight="1">
      <c r="A763" s="46"/>
      <c r="H763" s="46"/>
      <c r="I763" s="46"/>
    </row>
    <row r="764" ht="15.75" customHeight="1">
      <c r="A764" s="46"/>
      <c r="H764" s="46"/>
      <c r="I764" s="46"/>
    </row>
    <row r="765" ht="15.75" customHeight="1">
      <c r="A765" s="46"/>
      <c r="H765" s="46"/>
      <c r="I765" s="46"/>
    </row>
    <row r="766" ht="15.75" customHeight="1">
      <c r="A766" s="46"/>
      <c r="H766" s="46"/>
      <c r="I766" s="46"/>
    </row>
    <row r="767" ht="15.75" customHeight="1">
      <c r="A767" s="46"/>
      <c r="H767" s="46"/>
      <c r="I767" s="46"/>
    </row>
    <row r="768" ht="15.75" customHeight="1">
      <c r="A768" s="46"/>
      <c r="H768" s="46"/>
      <c r="I768" s="46"/>
    </row>
    <row r="769" ht="15.75" customHeight="1">
      <c r="A769" s="46"/>
      <c r="H769" s="46"/>
      <c r="I769" s="46"/>
    </row>
    <row r="770" ht="15.75" customHeight="1">
      <c r="A770" s="46"/>
      <c r="H770" s="46"/>
      <c r="I770" s="46"/>
    </row>
    <row r="771" ht="15.75" customHeight="1">
      <c r="A771" s="46"/>
      <c r="H771" s="46"/>
      <c r="I771" s="46"/>
    </row>
    <row r="772" ht="15.75" customHeight="1">
      <c r="A772" s="46"/>
      <c r="H772" s="46"/>
      <c r="I772" s="46"/>
    </row>
    <row r="773" ht="15.75" customHeight="1">
      <c r="A773" s="46"/>
      <c r="H773" s="46"/>
      <c r="I773" s="46"/>
    </row>
    <row r="774" ht="15.75" customHeight="1">
      <c r="A774" s="46"/>
      <c r="H774" s="46"/>
      <c r="I774" s="46"/>
    </row>
    <row r="775" ht="15.75" customHeight="1">
      <c r="A775" s="46"/>
      <c r="H775" s="46"/>
      <c r="I775" s="46"/>
    </row>
    <row r="776" ht="15.75" customHeight="1">
      <c r="A776" s="46"/>
      <c r="H776" s="46"/>
      <c r="I776" s="46"/>
    </row>
    <row r="777" ht="15.75" customHeight="1">
      <c r="A777" s="46"/>
      <c r="H777" s="46"/>
      <c r="I777" s="46"/>
    </row>
    <row r="778" ht="15.75" customHeight="1">
      <c r="A778" s="46"/>
      <c r="H778" s="46"/>
      <c r="I778" s="46"/>
    </row>
    <row r="779" ht="15.75" customHeight="1">
      <c r="A779" s="46"/>
      <c r="H779" s="46"/>
      <c r="I779" s="46"/>
    </row>
    <row r="780" ht="15.75" customHeight="1">
      <c r="A780" s="46"/>
      <c r="H780" s="46"/>
      <c r="I780" s="46"/>
    </row>
    <row r="781" ht="15.75" customHeight="1">
      <c r="A781" s="46"/>
      <c r="H781" s="46"/>
      <c r="I781" s="46"/>
    </row>
    <row r="782" ht="15.75" customHeight="1">
      <c r="A782" s="46"/>
      <c r="H782" s="46"/>
      <c r="I782" s="46"/>
    </row>
    <row r="783" ht="15.75" customHeight="1">
      <c r="A783" s="46"/>
      <c r="H783" s="46"/>
      <c r="I783" s="46"/>
    </row>
    <row r="784" ht="15.75" customHeight="1">
      <c r="A784" s="46"/>
      <c r="H784" s="46"/>
      <c r="I784" s="46"/>
    </row>
    <row r="785" ht="15.75" customHeight="1">
      <c r="A785" s="46"/>
      <c r="H785" s="46"/>
      <c r="I785" s="46"/>
    </row>
    <row r="786" ht="15.75" customHeight="1">
      <c r="A786" s="46"/>
      <c r="H786" s="46"/>
      <c r="I786" s="46"/>
    </row>
    <row r="787" ht="15.75" customHeight="1">
      <c r="A787" s="46"/>
      <c r="H787" s="46"/>
      <c r="I787" s="46"/>
    </row>
    <row r="788" ht="15.75" customHeight="1">
      <c r="A788" s="46"/>
      <c r="H788" s="46"/>
      <c r="I788" s="46"/>
    </row>
    <row r="789" ht="15.75" customHeight="1">
      <c r="A789" s="46"/>
      <c r="H789" s="46"/>
      <c r="I789" s="46"/>
    </row>
    <row r="790" ht="15.75" customHeight="1">
      <c r="A790" s="46"/>
      <c r="H790" s="46"/>
      <c r="I790" s="46"/>
    </row>
    <row r="791" ht="15.75" customHeight="1">
      <c r="A791" s="46"/>
      <c r="H791" s="46"/>
      <c r="I791" s="46"/>
    </row>
    <row r="792" ht="15.75" customHeight="1">
      <c r="A792" s="46"/>
      <c r="H792" s="46"/>
      <c r="I792" s="46"/>
    </row>
    <row r="793" ht="15.75" customHeight="1">
      <c r="A793" s="46"/>
      <c r="H793" s="46"/>
      <c r="I793" s="46"/>
    </row>
    <row r="794" ht="15.75" customHeight="1">
      <c r="A794" s="46"/>
      <c r="H794" s="46"/>
      <c r="I794" s="46"/>
    </row>
    <row r="795" ht="15.75" customHeight="1">
      <c r="A795" s="46"/>
      <c r="H795" s="46"/>
      <c r="I795" s="46"/>
    </row>
    <row r="796" ht="15.75" customHeight="1">
      <c r="A796" s="46"/>
      <c r="H796" s="46"/>
      <c r="I796" s="46"/>
    </row>
    <row r="797" ht="15.75" customHeight="1">
      <c r="A797" s="46"/>
      <c r="H797" s="46"/>
      <c r="I797" s="46"/>
    </row>
    <row r="798" ht="15.75" customHeight="1">
      <c r="A798" s="46"/>
      <c r="H798" s="46"/>
      <c r="I798" s="46"/>
    </row>
    <row r="799" ht="15.75" customHeight="1">
      <c r="A799" s="46"/>
      <c r="H799" s="46"/>
      <c r="I799" s="46"/>
    </row>
    <row r="800" ht="15.75" customHeight="1">
      <c r="A800" s="46"/>
      <c r="H800" s="46"/>
      <c r="I800" s="46"/>
    </row>
    <row r="801" ht="15.75" customHeight="1">
      <c r="A801" s="46"/>
      <c r="H801" s="46"/>
      <c r="I801" s="46"/>
    </row>
    <row r="802" ht="15.75" customHeight="1">
      <c r="A802" s="46"/>
      <c r="H802" s="46"/>
      <c r="I802" s="46"/>
    </row>
    <row r="803" ht="15.75" customHeight="1">
      <c r="A803" s="46"/>
      <c r="H803" s="46"/>
      <c r="I803" s="46"/>
    </row>
    <row r="804" ht="15.75" customHeight="1">
      <c r="A804" s="46"/>
      <c r="H804" s="46"/>
      <c r="I804" s="46"/>
    </row>
    <row r="805" ht="15.75" customHeight="1">
      <c r="A805" s="46"/>
      <c r="H805" s="46"/>
      <c r="I805" s="46"/>
    </row>
    <row r="806" ht="15.75" customHeight="1">
      <c r="A806" s="46"/>
      <c r="H806" s="46"/>
      <c r="I806" s="46"/>
    </row>
    <row r="807" ht="15.75" customHeight="1">
      <c r="A807" s="46"/>
      <c r="H807" s="46"/>
      <c r="I807" s="46"/>
    </row>
    <row r="808" ht="15.75" customHeight="1">
      <c r="A808" s="46"/>
      <c r="H808" s="46"/>
      <c r="I808" s="46"/>
    </row>
    <row r="809" ht="15.75" customHeight="1">
      <c r="A809" s="46"/>
      <c r="H809" s="46"/>
      <c r="I809" s="46"/>
    </row>
    <row r="810" ht="15.75" customHeight="1">
      <c r="A810" s="46"/>
      <c r="H810" s="46"/>
      <c r="I810" s="46"/>
    </row>
    <row r="811" ht="15.75" customHeight="1">
      <c r="A811" s="46"/>
      <c r="H811" s="46"/>
      <c r="I811" s="46"/>
    </row>
    <row r="812" ht="15.75" customHeight="1">
      <c r="A812" s="46"/>
      <c r="H812" s="46"/>
      <c r="I812" s="46"/>
    </row>
    <row r="813" ht="15.75" customHeight="1">
      <c r="A813" s="46"/>
      <c r="H813" s="46"/>
      <c r="I813" s="46"/>
    </row>
    <row r="814" ht="15.75" customHeight="1">
      <c r="A814" s="46"/>
      <c r="H814" s="46"/>
      <c r="I814" s="46"/>
    </row>
    <row r="815" ht="15.75" customHeight="1">
      <c r="A815" s="46"/>
      <c r="H815" s="46"/>
      <c r="I815" s="46"/>
    </row>
    <row r="816" ht="15.75" customHeight="1">
      <c r="A816" s="46"/>
      <c r="H816" s="46"/>
      <c r="I816" s="46"/>
    </row>
    <row r="817" ht="15.75" customHeight="1">
      <c r="A817" s="46"/>
      <c r="H817" s="46"/>
      <c r="I817" s="46"/>
    </row>
    <row r="818" ht="15.75" customHeight="1">
      <c r="A818" s="46"/>
      <c r="H818" s="46"/>
      <c r="I818" s="46"/>
    </row>
    <row r="819" ht="15.75" customHeight="1">
      <c r="A819" s="46"/>
      <c r="H819" s="46"/>
      <c r="I819" s="46"/>
    </row>
    <row r="820" ht="15.75" customHeight="1">
      <c r="A820" s="46"/>
      <c r="H820" s="46"/>
      <c r="I820" s="46"/>
    </row>
    <row r="821" ht="15.75" customHeight="1">
      <c r="A821" s="46"/>
      <c r="H821" s="46"/>
      <c r="I821" s="46"/>
    </row>
    <row r="822" ht="15.75" customHeight="1">
      <c r="A822" s="46"/>
      <c r="H822" s="46"/>
      <c r="I822" s="46"/>
    </row>
    <row r="823" ht="15.75" customHeight="1">
      <c r="A823" s="46"/>
      <c r="H823" s="46"/>
      <c r="I823" s="46"/>
    </row>
    <row r="824" ht="15.75" customHeight="1">
      <c r="A824" s="46"/>
      <c r="H824" s="46"/>
      <c r="I824" s="46"/>
    </row>
    <row r="825" ht="15.75" customHeight="1">
      <c r="A825" s="46"/>
      <c r="H825" s="46"/>
      <c r="I825" s="46"/>
    </row>
    <row r="826" ht="15.75" customHeight="1">
      <c r="A826" s="46"/>
      <c r="H826" s="46"/>
      <c r="I826" s="46"/>
    </row>
    <row r="827" ht="15.75" customHeight="1">
      <c r="A827" s="46"/>
      <c r="H827" s="46"/>
      <c r="I827" s="46"/>
    </row>
    <row r="828" ht="15.75" customHeight="1">
      <c r="A828" s="46"/>
      <c r="H828" s="46"/>
      <c r="I828" s="46"/>
    </row>
    <row r="829" ht="15.75" customHeight="1">
      <c r="A829" s="46"/>
      <c r="H829" s="46"/>
      <c r="I829" s="46"/>
    </row>
    <row r="830" ht="15.75" customHeight="1">
      <c r="A830" s="46"/>
      <c r="H830" s="46"/>
      <c r="I830" s="46"/>
    </row>
    <row r="831" ht="15.75" customHeight="1">
      <c r="A831" s="46"/>
      <c r="H831" s="46"/>
      <c r="I831" s="46"/>
    </row>
    <row r="832" ht="15.75" customHeight="1">
      <c r="A832" s="46"/>
      <c r="H832" s="46"/>
      <c r="I832" s="46"/>
    </row>
    <row r="833" ht="15.75" customHeight="1">
      <c r="A833" s="46"/>
      <c r="H833" s="46"/>
      <c r="I833" s="46"/>
    </row>
    <row r="834" ht="15.75" customHeight="1">
      <c r="A834" s="46"/>
      <c r="H834" s="46"/>
      <c r="I834" s="46"/>
    </row>
    <row r="835" ht="15.75" customHeight="1">
      <c r="A835" s="46"/>
      <c r="H835" s="46"/>
      <c r="I835" s="46"/>
    </row>
    <row r="836" ht="15.75" customHeight="1">
      <c r="A836" s="46"/>
      <c r="H836" s="46"/>
      <c r="I836" s="46"/>
    </row>
    <row r="837" ht="15.75" customHeight="1">
      <c r="A837" s="46"/>
      <c r="H837" s="46"/>
      <c r="I837" s="46"/>
    </row>
    <row r="838" ht="15.75" customHeight="1">
      <c r="A838" s="46"/>
      <c r="H838" s="46"/>
      <c r="I838" s="46"/>
    </row>
    <row r="839" ht="15.75" customHeight="1">
      <c r="A839" s="46"/>
      <c r="H839" s="46"/>
      <c r="I839" s="46"/>
    </row>
    <row r="840" ht="15.75" customHeight="1">
      <c r="A840" s="46"/>
      <c r="H840" s="46"/>
      <c r="I840" s="46"/>
    </row>
    <row r="841" ht="15.75" customHeight="1">
      <c r="A841" s="46"/>
      <c r="H841" s="46"/>
      <c r="I841" s="46"/>
    </row>
    <row r="842" ht="15.75" customHeight="1">
      <c r="A842" s="46"/>
      <c r="H842" s="46"/>
      <c r="I842" s="46"/>
    </row>
    <row r="843" ht="15.75" customHeight="1">
      <c r="A843" s="46"/>
      <c r="H843" s="46"/>
      <c r="I843" s="46"/>
    </row>
    <row r="844" ht="15.75" customHeight="1">
      <c r="A844" s="46"/>
      <c r="H844" s="46"/>
      <c r="I844" s="46"/>
    </row>
    <row r="845" ht="15.75" customHeight="1">
      <c r="A845" s="46"/>
      <c r="H845" s="46"/>
      <c r="I845" s="46"/>
    </row>
    <row r="846" ht="15.75" customHeight="1">
      <c r="A846" s="46"/>
      <c r="H846" s="46"/>
      <c r="I846" s="46"/>
    </row>
    <row r="847" ht="15.75" customHeight="1">
      <c r="A847" s="46"/>
      <c r="H847" s="46"/>
      <c r="I847" s="46"/>
    </row>
    <row r="848" ht="15.75" customHeight="1">
      <c r="A848" s="46"/>
      <c r="H848" s="46"/>
      <c r="I848" s="46"/>
    </row>
    <row r="849" ht="15.75" customHeight="1">
      <c r="A849" s="46"/>
      <c r="H849" s="46"/>
      <c r="I849" s="46"/>
    </row>
    <row r="850" ht="15.75" customHeight="1">
      <c r="A850" s="46"/>
      <c r="H850" s="46"/>
      <c r="I850" s="46"/>
    </row>
    <row r="851" ht="15.75" customHeight="1">
      <c r="A851" s="46"/>
      <c r="H851" s="46"/>
      <c r="I851" s="46"/>
    </row>
    <row r="852" ht="15.75" customHeight="1">
      <c r="A852" s="46"/>
      <c r="H852" s="46"/>
      <c r="I852" s="46"/>
    </row>
    <row r="853" ht="15.75" customHeight="1">
      <c r="A853" s="46"/>
      <c r="H853" s="46"/>
      <c r="I853" s="46"/>
    </row>
    <row r="854" ht="15.75" customHeight="1">
      <c r="A854" s="46"/>
      <c r="H854" s="46"/>
      <c r="I854" s="46"/>
    </row>
    <row r="855" ht="15.75" customHeight="1">
      <c r="A855" s="46"/>
      <c r="H855" s="46"/>
      <c r="I855" s="46"/>
    </row>
    <row r="856" ht="15.75" customHeight="1">
      <c r="A856" s="46"/>
      <c r="H856" s="46"/>
      <c r="I856" s="46"/>
    </row>
    <row r="857" ht="15.75" customHeight="1">
      <c r="A857" s="46"/>
      <c r="H857" s="46"/>
      <c r="I857" s="46"/>
    </row>
    <row r="858" ht="15.75" customHeight="1">
      <c r="A858" s="46"/>
      <c r="H858" s="46"/>
      <c r="I858" s="46"/>
    </row>
    <row r="859" ht="15.75" customHeight="1">
      <c r="A859" s="46"/>
      <c r="H859" s="46"/>
      <c r="I859" s="46"/>
    </row>
    <row r="860" ht="15.75" customHeight="1">
      <c r="A860" s="46"/>
      <c r="H860" s="46"/>
      <c r="I860" s="46"/>
    </row>
    <row r="861" ht="15.75" customHeight="1">
      <c r="A861" s="46"/>
      <c r="H861" s="46"/>
      <c r="I861" s="46"/>
    </row>
    <row r="862" ht="15.75" customHeight="1">
      <c r="A862" s="46"/>
      <c r="H862" s="46"/>
      <c r="I862" s="46"/>
    </row>
    <row r="863" ht="15.75" customHeight="1">
      <c r="A863" s="46"/>
      <c r="H863" s="46"/>
      <c r="I863" s="46"/>
    </row>
    <row r="864" ht="15.75" customHeight="1">
      <c r="A864" s="46"/>
      <c r="H864" s="46"/>
      <c r="I864" s="46"/>
    </row>
    <row r="865" ht="15.75" customHeight="1">
      <c r="A865" s="46"/>
      <c r="H865" s="46"/>
      <c r="I865" s="46"/>
    </row>
    <row r="866" ht="15.75" customHeight="1">
      <c r="A866" s="46"/>
      <c r="H866" s="46"/>
      <c r="I866" s="46"/>
    </row>
    <row r="867" ht="15.75" customHeight="1">
      <c r="A867" s="46"/>
      <c r="H867" s="46"/>
      <c r="I867" s="46"/>
    </row>
    <row r="868" ht="15.75" customHeight="1">
      <c r="A868" s="46"/>
      <c r="H868" s="46"/>
      <c r="I868" s="46"/>
    </row>
    <row r="869" ht="15.75" customHeight="1">
      <c r="A869" s="46"/>
      <c r="H869" s="46"/>
      <c r="I869" s="46"/>
    </row>
    <row r="870" ht="15.75" customHeight="1">
      <c r="A870" s="46"/>
      <c r="H870" s="46"/>
      <c r="I870" s="46"/>
    </row>
    <row r="871" ht="15.75" customHeight="1">
      <c r="A871" s="46"/>
      <c r="H871" s="46"/>
      <c r="I871" s="46"/>
    </row>
    <row r="872" ht="15.75" customHeight="1">
      <c r="A872" s="46"/>
      <c r="H872" s="46"/>
      <c r="I872" s="46"/>
    </row>
    <row r="873" ht="15.75" customHeight="1">
      <c r="A873" s="46"/>
      <c r="H873" s="46"/>
      <c r="I873" s="46"/>
    </row>
    <row r="874" ht="15.75" customHeight="1">
      <c r="A874" s="46"/>
      <c r="H874" s="46"/>
      <c r="I874" s="46"/>
    </row>
    <row r="875" ht="15.75" customHeight="1">
      <c r="A875" s="46"/>
      <c r="H875" s="46"/>
      <c r="I875" s="46"/>
    </row>
    <row r="876" ht="15.75" customHeight="1">
      <c r="A876" s="46"/>
      <c r="H876" s="46"/>
      <c r="I876" s="46"/>
    </row>
    <row r="877" ht="15.75" customHeight="1">
      <c r="A877" s="46"/>
      <c r="H877" s="46"/>
      <c r="I877" s="46"/>
    </row>
    <row r="878" ht="15.75" customHeight="1">
      <c r="A878" s="46"/>
      <c r="H878" s="46"/>
      <c r="I878" s="46"/>
    </row>
    <row r="879" ht="15.75" customHeight="1">
      <c r="A879" s="46"/>
      <c r="H879" s="46"/>
      <c r="I879" s="46"/>
    </row>
    <row r="880" ht="15.75" customHeight="1">
      <c r="A880" s="46"/>
      <c r="H880" s="46"/>
      <c r="I880" s="46"/>
    </row>
    <row r="881" ht="15.75" customHeight="1">
      <c r="A881" s="46"/>
      <c r="H881" s="46"/>
      <c r="I881" s="46"/>
    </row>
    <row r="882" ht="15.75" customHeight="1">
      <c r="A882" s="46"/>
      <c r="H882" s="46"/>
      <c r="I882" s="46"/>
    </row>
    <row r="883" ht="15.75" customHeight="1">
      <c r="A883" s="46"/>
      <c r="H883" s="46"/>
      <c r="I883" s="46"/>
    </row>
    <row r="884" ht="15.75" customHeight="1">
      <c r="A884" s="46"/>
      <c r="H884" s="46"/>
      <c r="I884" s="46"/>
    </row>
    <row r="885" ht="15.75" customHeight="1">
      <c r="A885" s="46"/>
      <c r="H885" s="46"/>
      <c r="I885" s="46"/>
    </row>
    <row r="886" ht="15.75" customHeight="1">
      <c r="A886" s="46"/>
      <c r="H886" s="46"/>
      <c r="I886" s="46"/>
    </row>
    <row r="887" ht="15.75" customHeight="1">
      <c r="A887" s="46"/>
      <c r="H887" s="46"/>
      <c r="I887" s="46"/>
    </row>
    <row r="888" ht="15.75" customHeight="1">
      <c r="A888" s="46"/>
      <c r="H888" s="46"/>
      <c r="I888" s="46"/>
    </row>
    <row r="889" ht="15.75" customHeight="1">
      <c r="A889" s="46"/>
      <c r="H889" s="46"/>
      <c r="I889" s="46"/>
    </row>
    <row r="890" ht="15.75" customHeight="1">
      <c r="A890" s="46"/>
      <c r="H890" s="46"/>
      <c r="I890" s="46"/>
    </row>
    <row r="891" ht="15.75" customHeight="1">
      <c r="A891" s="46"/>
      <c r="H891" s="46"/>
      <c r="I891" s="46"/>
    </row>
    <row r="892" ht="15.75" customHeight="1">
      <c r="A892" s="46"/>
      <c r="H892" s="46"/>
      <c r="I892" s="46"/>
    </row>
    <row r="893" ht="15.75" customHeight="1">
      <c r="A893" s="46"/>
      <c r="H893" s="46"/>
      <c r="I893" s="46"/>
    </row>
    <row r="894" ht="15.75" customHeight="1">
      <c r="A894" s="46"/>
      <c r="H894" s="46"/>
      <c r="I894" s="46"/>
    </row>
    <row r="895" ht="15.75" customHeight="1">
      <c r="A895" s="46"/>
      <c r="H895" s="46"/>
      <c r="I895" s="46"/>
    </row>
    <row r="896" ht="15.75" customHeight="1">
      <c r="A896" s="46"/>
      <c r="H896" s="46"/>
      <c r="I896" s="46"/>
    </row>
    <row r="897" ht="15.75" customHeight="1">
      <c r="A897" s="46"/>
      <c r="H897" s="46"/>
      <c r="I897" s="46"/>
    </row>
    <row r="898" ht="15.75" customHeight="1">
      <c r="A898" s="46"/>
      <c r="H898" s="46"/>
      <c r="I898" s="46"/>
    </row>
    <row r="899" ht="15.75" customHeight="1">
      <c r="A899" s="46"/>
      <c r="H899" s="46"/>
      <c r="I899" s="46"/>
    </row>
    <row r="900" ht="15.75" customHeight="1">
      <c r="A900" s="46"/>
      <c r="H900" s="46"/>
      <c r="I900" s="46"/>
    </row>
    <row r="901" ht="15.75" customHeight="1">
      <c r="A901" s="46"/>
      <c r="H901" s="46"/>
      <c r="I901" s="46"/>
    </row>
    <row r="902" ht="15.75" customHeight="1">
      <c r="A902" s="46"/>
      <c r="H902" s="46"/>
      <c r="I902" s="46"/>
    </row>
    <row r="903" ht="15.75" customHeight="1">
      <c r="A903" s="46"/>
      <c r="H903" s="46"/>
      <c r="I903" s="46"/>
    </row>
    <row r="904" ht="15.75" customHeight="1">
      <c r="A904" s="46"/>
      <c r="H904" s="46"/>
      <c r="I904" s="46"/>
    </row>
    <row r="905" ht="15.75" customHeight="1">
      <c r="A905" s="46"/>
      <c r="H905" s="46"/>
      <c r="I905" s="46"/>
    </row>
    <row r="906" ht="15.75" customHeight="1">
      <c r="A906" s="46"/>
      <c r="H906" s="46"/>
      <c r="I906" s="46"/>
    </row>
    <row r="907" ht="15.75" customHeight="1">
      <c r="A907" s="46"/>
      <c r="H907" s="46"/>
      <c r="I907" s="46"/>
    </row>
    <row r="908" ht="15.75" customHeight="1">
      <c r="A908" s="46"/>
      <c r="H908" s="46"/>
      <c r="I908" s="46"/>
    </row>
    <row r="909" ht="15.75" customHeight="1">
      <c r="A909" s="46"/>
      <c r="H909" s="46"/>
      <c r="I909" s="46"/>
    </row>
    <row r="910" ht="15.75" customHeight="1">
      <c r="A910" s="46"/>
      <c r="H910" s="46"/>
      <c r="I910" s="46"/>
    </row>
    <row r="911" ht="15.75" customHeight="1">
      <c r="A911" s="46"/>
      <c r="H911" s="46"/>
      <c r="I911" s="46"/>
    </row>
    <row r="912" ht="15.75" customHeight="1">
      <c r="A912" s="46"/>
      <c r="H912" s="46"/>
      <c r="I912" s="46"/>
    </row>
    <row r="913" ht="15.75" customHeight="1">
      <c r="A913" s="46"/>
      <c r="H913" s="46"/>
      <c r="I913" s="46"/>
    </row>
    <row r="914" ht="15.75" customHeight="1">
      <c r="A914" s="46"/>
      <c r="H914" s="46"/>
      <c r="I914" s="46"/>
    </row>
    <row r="915" ht="15.75" customHeight="1">
      <c r="A915" s="46"/>
      <c r="H915" s="46"/>
      <c r="I915" s="46"/>
    </row>
    <row r="916" ht="15.75" customHeight="1">
      <c r="A916" s="46"/>
      <c r="H916" s="46"/>
      <c r="I916" s="46"/>
    </row>
    <row r="917" ht="15.75" customHeight="1">
      <c r="A917" s="46"/>
      <c r="H917" s="46"/>
      <c r="I917" s="46"/>
    </row>
    <row r="918" ht="15.75" customHeight="1">
      <c r="A918" s="46"/>
      <c r="H918" s="46"/>
      <c r="I918" s="46"/>
    </row>
    <row r="919" ht="15.75" customHeight="1">
      <c r="A919" s="46"/>
      <c r="H919" s="46"/>
      <c r="I919" s="46"/>
    </row>
    <row r="920" ht="15.75" customHeight="1">
      <c r="A920" s="46"/>
      <c r="H920" s="46"/>
      <c r="I920" s="46"/>
    </row>
    <row r="921" ht="15.75" customHeight="1">
      <c r="A921" s="46"/>
      <c r="H921" s="46"/>
      <c r="I921" s="46"/>
    </row>
    <row r="922" ht="15.75" customHeight="1">
      <c r="A922" s="46"/>
      <c r="H922" s="46"/>
      <c r="I922" s="46"/>
    </row>
    <row r="923" ht="15.75" customHeight="1">
      <c r="A923" s="46"/>
      <c r="H923" s="46"/>
      <c r="I923" s="46"/>
    </row>
    <row r="924" ht="15.75" customHeight="1">
      <c r="A924" s="46"/>
      <c r="H924" s="46"/>
      <c r="I924" s="46"/>
    </row>
    <row r="925" ht="15.75" customHeight="1">
      <c r="A925" s="46"/>
      <c r="H925" s="46"/>
      <c r="I925" s="46"/>
    </row>
    <row r="926" ht="15.75" customHeight="1">
      <c r="A926" s="46"/>
      <c r="H926" s="46"/>
      <c r="I926" s="46"/>
    </row>
    <row r="927" ht="15.75" customHeight="1">
      <c r="A927" s="46"/>
      <c r="H927" s="46"/>
      <c r="I927" s="46"/>
    </row>
    <row r="928" ht="15.75" customHeight="1">
      <c r="A928" s="46"/>
      <c r="H928" s="46"/>
      <c r="I928" s="46"/>
    </row>
    <row r="929" ht="15.75" customHeight="1">
      <c r="A929" s="46"/>
      <c r="H929" s="46"/>
      <c r="I929" s="46"/>
    </row>
    <row r="930" ht="15.75" customHeight="1">
      <c r="A930" s="46"/>
      <c r="H930" s="46"/>
      <c r="I930" s="46"/>
    </row>
    <row r="931" ht="15.75" customHeight="1">
      <c r="A931" s="46"/>
      <c r="H931" s="46"/>
      <c r="I931" s="46"/>
    </row>
    <row r="932" ht="15.75" customHeight="1">
      <c r="A932" s="46"/>
      <c r="H932" s="46"/>
      <c r="I932" s="46"/>
    </row>
    <row r="933" ht="15.75" customHeight="1">
      <c r="A933" s="46"/>
      <c r="H933" s="46"/>
      <c r="I933" s="46"/>
    </row>
    <row r="934" ht="15.75" customHeight="1">
      <c r="A934" s="46"/>
      <c r="H934" s="46"/>
      <c r="I934" s="46"/>
    </row>
    <row r="935" ht="15.75" customHeight="1">
      <c r="A935" s="46"/>
      <c r="H935" s="46"/>
      <c r="I935" s="46"/>
    </row>
    <row r="936" ht="15.75" customHeight="1">
      <c r="A936" s="46"/>
      <c r="H936" s="46"/>
      <c r="I936" s="46"/>
    </row>
    <row r="937" ht="15.75" customHeight="1">
      <c r="A937" s="46"/>
      <c r="H937" s="46"/>
      <c r="I937" s="46"/>
    </row>
    <row r="938" ht="15.75" customHeight="1">
      <c r="A938" s="46"/>
      <c r="H938" s="46"/>
      <c r="I938" s="46"/>
    </row>
    <row r="939" ht="15.75" customHeight="1">
      <c r="A939" s="46"/>
      <c r="H939" s="46"/>
      <c r="I939" s="46"/>
    </row>
    <row r="940" ht="15.75" customHeight="1">
      <c r="A940" s="46"/>
      <c r="H940" s="46"/>
      <c r="I940" s="46"/>
    </row>
    <row r="941" ht="15.75" customHeight="1">
      <c r="A941" s="46"/>
      <c r="H941" s="46"/>
      <c r="I941" s="46"/>
    </row>
    <row r="942" ht="15.75" customHeight="1">
      <c r="A942" s="46"/>
      <c r="H942" s="46"/>
      <c r="I942" s="46"/>
    </row>
    <row r="943" ht="15.75" customHeight="1">
      <c r="A943" s="46"/>
      <c r="H943" s="46"/>
      <c r="I943" s="46"/>
    </row>
    <row r="944" ht="15.75" customHeight="1">
      <c r="A944" s="46"/>
      <c r="H944" s="46"/>
      <c r="I944" s="46"/>
    </row>
    <row r="945" ht="15.75" customHeight="1">
      <c r="A945" s="46"/>
      <c r="H945" s="46"/>
      <c r="I945" s="46"/>
    </row>
    <row r="946" ht="15.75" customHeight="1">
      <c r="A946" s="46"/>
      <c r="H946" s="46"/>
      <c r="I946" s="46"/>
    </row>
    <row r="947" ht="15.75" customHeight="1">
      <c r="A947" s="46"/>
      <c r="H947" s="46"/>
      <c r="I947" s="46"/>
    </row>
    <row r="948" ht="15.75" customHeight="1">
      <c r="A948" s="46"/>
      <c r="H948" s="46"/>
      <c r="I948" s="46"/>
    </row>
    <row r="949" ht="15.75" customHeight="1">
      <c r="A949" s="46"/>
      <c r="H949" s="46"/>
      <c r="I949" s="46"/>
    </row>
    <row r="950" ht="15.75" customHeight="1">
      <c r="A950" s="46"/>
      <c r="H950" s="46"/>
      <c r="I950" s="46"/>
    </row>
    <row r="951" ht="15.75" customHeight="1">
      <c r="A951" s="46"/>
      <c r="H951" s="46"/>
      <c r="I951" s="46"/>
    </row>
    <row r="952" ht="15.75" customHeight="1">
      <c r="A952" s="46"/>
      <c r="H952" s="46"/>
      <c r="I952" s="46"/>
    </row>
    <row r="953" ht="15.75" customHeight="1">
      <c r="A953" s="46"/>
      <c r="H953" s="46"/>
      <c r="I953" s="46"/>
    </row>
    <row r="954" ht="15.75" customHeight="1">
      <c r="A954" s="46"/>
      <c r="H954" s="46"/>
      <c r="I954" s="46"/>
    </row>
    <row r="955" ht="15.75" customHeight="1">
      <c r="A955" s="46"/>
      <c r="H955" s="46"/>
      <c r="I955" s="46"/>
    </row>
    <row r="956" ht="15.75" customHeight="1">
      <c r="A956" s="46"/>
      <c r="H956" s="46"/>
      <c r="I956" s="46"/>
    </row>
    <row r="957" ht="15.75" customHeight="1">
      <c r="A957" s="46"/>
      <c r="H957" s="46"/>
      <c r="I957" s="46"/>
    </row>
    <row r="958" ht="15.75" customHeight="1">
      <c r="A958" s="46"/>
      <c r="H958" s="46"/>
      <c r="I958" s="46"/>
    </row>
    <row r="959" ht="15.75" customHeight="1">
      <c r="A959" s="46"/>
      <c r="H959" s="46"/>
      <c r="I959" s="46"/>
    </row>
    <row r="960" ht="15.75" customHeight="1">
      <c r="A960" s="46"/>
      <c r="H960" s="46"/>
      <c r="I960" s="46"/>
    </row>
    <row r="961" ht="15.75" customHeight="1">
      <c r="A961" s="46"/>
      <c r="H961" s="46"/>
      <c r="I961" s="46"/>
    </row>
    <row r="962" ht="15.75" customHeight="1">
      <c r="A962" s="46"/>
      <c r="H962" s="46"/>
      <c r="I962" s="46"/>
    </row>
    <row r="963" ht="15.75" customHeight="1">
      <c r="A963" s="46"/>
      <c r="H963" s="46"/>
      <c r="I963" s="46"/>
    </row>
    <row r="964" ht="15.75" customHeight="1">
      <c r="A964" s="46"/>
      <c r="H964" s="46"/>
      <c r="I964" s="46"/>
    </row>
    <row r="965" ht="15.75" customHeight="1">
      <c r="A965" s="46"/>
      <c r="H965" s="46"/>
      <c r="I965" s="46"/>
    </row>
    <row r="966" ht="15.75" customHeight="1">
      <c r="A966" s="46"/>
      <c r="H966" s="46"/>
      <c r="I966" s="46"/>
    </row>
    <row r="967" ht="15.75" customHeight="1">
      <c r="A967" s="46"/>
      <c r="H967" s="46"/>
      <c r="I967" s="46"/>
    </row>
    <row r="968" ht="15.75" customHeight="1">
      <c r="A968" s="46"/>
      <c r="H968" s="46"/>
      <c r="I968" s="46"/>
    </row>
    <row r="969" ht="15.75" customHeight="1">
      <c r="A969" s="46"/>
      <c r="H969" s="46"/>
      <c r="I969" s="46"/>
    </row>
    <row r="970" ht="15.75" customHeight="1">
      <c r="A970" s="46"/>
      <c r="H970" s="46"/>
      <c r="I970" s="46"/>
    </row>
    <row r="971" ht="15.75" customHeight="1">
      <c r="A971" s="46"/>
      <c r="H971" s="46"/>
      <c r="I971" s="46"/>
    </row>
    <row r="972" ht="15.75" customHeight="1">
      <c r="A972" s="46"/>
      <c r="H972" s="46"/>
      <c r="I972" s="46"/>
    </row>
    <row r="973" ht="15.75" customHeight="1">
      <c r="A973" s="46"/>
      <c r="H973" s="46"/>
      <c r="I973" s="46"/>
    </row>
    <row r="974" ht="15.75" customHeight="1">
      <c r="A974" s="46"/>
      <c r="H974" s="46"/>
      <c r="I974" s="46"/>
    </row>
    <row r="975" ht="15.75" customHeight="1">
      <c r="A975" s="46"/>
      <c r="H975" s="46"/>
      <c r="I975" s="46"/>
    </row>
    <row r="976" ht="15.75" customHeight="1">
      <c r="A976" s="46"/>
      <c r="H976" s="46"/>
      <c r="I976" s="46"/>
    </row>
    <row r="977" ht="15.75" customHeight="1">
      <c r="A977" s="46"/>
      <c r="H977" s="46"/>
      <c r="I977" s="46"/>
    </row>
    <row r="978" ht="15.75" customHeight="1">
      <c r="A978" s="46"/>
      <c r="H978" s="46"/>
      <c r="I978" s="46"/>
    </row>
    <row r="979" ht="15.75" customHeight="1">
      <c r="A979" s="46"/>
      <c r="H979" s="46"/>
      <c r="I979" s="46"/>
    </row>
    <row r="980" ht="15.75" customHeight="1">
      <c r="A980" s="46"/>
      <c r="H980" s="46"/>
      <c r="I980" s="46"/>
    </row>
    <row r="981" ht="15.75" customHeight="1">
      <c r="A981" s="46"/>
      <c r="H981" s="46"/>
      <c r="I981" s="46"/>
    </row>
    <row r="982" ht="15.75" customHeight="1">
      <c r="A982" s="46"/>
      <c r="H982" s="46"/>
      <c r="I982" s="46"/>
    </row>
    <row r="983" ht="15.75" customHeight="1">
      <c r="A983" s="46"/>
      <c r="H983" s="46"/>
      <c r="I983" s="46"/>
    </row>
    <row r="984" ht="15.75" customHeight="1">
      <c r="A984" s="46"/>
      <c r="H984" s="46"/>
      <c r="I984" s="46"/>
    </row>
    <row r="985" ht="15.75" customHeight="1">
      <c r="A985" s="46"/>
      <c r="H985" s="46"/>
      <c r="I985" s="46"/>
    </row>
    <row r="986" ht="15.75" customHeight="1">
      <c r="A986" s="46"/>
      <c r="H986" s="46"/>
      <c r="I986" s="46"/>
    </row>
    <row r="987" ht="15.75" customHeight="1">
      <c r="A987" s="46"/>
      <c r="H987" s="46"/>
      <c r="I987" s="46"/>
    </row>
    <row r="988" ht="15.75" customHeight="1">
      <c r="A988" s="46"/>
      <c r="H988" s="46"/>
      <c r="I988" s="46"/>
    </row>
    <row r="989" ht="15.75" customHeight="1">
      <c r="A989" s="46"/>
      <c r="H989" s="46"/>
      <c r="I989" s="46"/>
    </row>
    <row r="990" ht="15.75" customHeight="1">
      <c r="A990" s="46"/>
      <c r="H990" s="46"/>
      <c r="I990" s="46"/>
    </row>
    <row r="991" ht="15.75" customHeight="1">
      <c r="A991" s="46"/>
      <c r="H991" s="46"/>
      <c r="I991" s="46"/>
    </row>
    <row r="992" ht="15.75" customHeight="1">
      <c r="A992" s="46"/>
      <c r="H992" s="46"/>
      <c r="I992" s="46"/>
    </row>
    <row r="993" ht="15.75" customHeight="1">
      <c r="A993" s="46"/>
      <c r="H993" s="46"/>
      <c r="I993" s="46"/>
    </row>
    <row r="994" ht="15.75" customHeight="1">
      <c r="A994" s="46"/>
      <c r="H994" s="46"/>
      <c r="I994" s="46"/>
    </row>
    <row r="995" ht="15.75" customHeight="1">
      <c r="A995" s="46"/>
      <c r="H995" s="46"/>
      <c r="I995" s="46"/>
    </row>
    <row r="996" ht="15.75" customHeight="1">
      <c r="A996" s="46"/>
      <c r="H996" s="46"/>
      <c r="I996" s="46"/>
    </row>
    <row r="997" ht="15.75" customHeight="1">
      <c r="A997" s="46"/>
      <c r="H997" s="46"/>
      <c r="I997" s="46"/>
    </row>
    <row r="998" ht="15.75" customHeight="1">
      <c r="A998" s="46"/>
      <c r="H998" s="46"/>
      <c r="I998" s="46"/>
    </row>
  </sheetData>
  <autoFilter ref="A1:U32"/>
  <conditionalFormatting sqref="N2:N998">
    <cfRule type="expression" dxfId="1" priority="1">
      <formula>$N2="active"</formula>
    </cfRule>
  </conditionalFormatting>
  <conditionalFormatting sqref="N2:N998">
    <cfRule type="expression" dxfId="1" priority="2">
      <formula>$N2="completed"</formula>
    </cfRule>
  </conditionalFormatting>
  <conditionalFormatting sqref="N2:N998">
    <cfRule type="expression" dxfId="1" priority="3">
      <formula>$N2="paid"</formula>
    </cfRule>
  </conditionalFormatting>
  <conditionalFormatting sqref="N2:N998">
    <cfRule type="expression" dxfId="1" priority="4">
      <formula>$N2="present"</formula>
    </cfRule>
  </conditionalFormatting>
  <conditionalFormatting sqref="N2:N998">
    <cfRule type="expression" dxfId="2" priority="5">
      <formula>$N2="inactive"</formula>
    </cfRule>
  </conditionalFormatting>
  <conditionalFormatting sqref="N2:N998">
    <cfRule type="expression" dxfId="3" priority="6">
      <formula>$N2="absent"</formula>
    </cfRule>
  </conditionalFormatting>
  <conditionalFormatting sqref="N2:N998">
    <cfRule type="expression" dxfId="4" priority="7">
      <formula>$N2="late"</formula>
    </cfRule>
  </conditionalFormatting>
  <conditionalFormatting sqref="N2:N998">
    <cfRule type="expression" dxfId="4" priority="8">
      <formula>$N2="pending"</formula>
    </cfRule>
  </conditionalFormatting>
  <conditionalFormatting sqref="N2:N998">
    <cfRule type="expression" dxfId="3" priority="9">
      <formula>$N2="cancelled"</formula>
    </cfRule>
  </conditionalFormatting>
  <dataValidations>
    <dataValidation type="list" allowBlank="1" sqref="E2:E499">
      <formula1>DanhMuc!$K$2:$K$100</formula1>
    </dataValidation>
    <dataValidation type="list" allowBlank="1" sqref="N2:N499">
      <formula1>DanhMuc!$A$2:$A$100</formula1>
    </dataValidation>
  </dataValidations>
  <printOptions/>
  <pageMargins bottom="0.75" footer="0.0" header="0.0" left="0.7" right="0.7" top="0.75"/>
  <pageSetup orientation="landscape"/>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C3AED"/>
    <pageSetUpPr/>
  </sheetPr>
  <sheetViews>
    <sheetView showGridLines="0" workbookViewId="0">
      <pane ySplit="1" topLeftCell="A2" activePane="bottomLeft" state="frozen"/>
      <selection pane="bottomLeft"/>
    </sheetView>
  </sheetViews>
  <sheetFormatPr customHeight="1" defaultColWidth="12.63" defaultRowHeight="15.0"/>
  <cols>
    <col min="1" max="1" width="10" customWidth="1"/>
    <col min="2" max="2" width="22" customWidth="1"/>
    <col min="3" max="3" width="16" customWidth="1"/>
    <col min="4" max="4" width="10" customWidth="1"/>
    <col min="5" max="5" width="11" customWidth="1"/>
    <col min="6" max="6" width="11" customWidth="1"/>
    <col min="7" max="7" width="14" customWidth="1"/>
    <col min="8" max="8" width="14" customWidth="1"/>
    <col min="9" max="9" width="14" customWidth="1"/>
    <col min="10" max="10" width="42" customWidth="1"/>
    <col min="11" max="11" width="21" customWidth="1"/>
    <col min="12" max="12" width="21" customWidth="1"/>
  </cols>
  <sheetData>
    <row r="1" ht="31.5" customHeight="1">
      <c r="A1" s="27" t="s">
        <v>391</v>
      </c>
      <c r="B1" s="3" t="s">
        <v>128</v>
      </c>
      <c r="C1" s="27" t="s">
        <v>392</v>
      </c>
      <c r="D1" s="3" t="s">
        <v>393</v>
      </c>
      <c r="E1" s="3" t="s">
        <v>140</v>
      </c>
      <c r="F1" s="3" t="s">
        <v>394</v>
      </c>
      <c r="G1" s="3" t="s">
        <v>395</v>
      </c>
      <c r="H1" s="3" t="s">
        <v>396</v>
      </c>
      <c r="I1" s="3" t="s">
        <v>397</v>
      </c>
      <c r="J1" s="3" t="s">
        <v>145</v>
      </c>
      <c r="K1" s="3" t="s">
        <v>146</v>
      </c>
      <c r="L1" s="3" t="s">
        <v>113</v>
      </c>
    </row>
    <row r="2" ht="22.5" customHeight="1">
      <c r="A2" s="28" t="inlineStr">
        <is>
          <t>GV0001</t>
        </is>
      </c>
      <c r="B2" s="29" t="inlineStr">
        <is>
          <t>Lê Đức Nhân</t>
        </is>
      </c>
      <c r="C2" s="28" t="inlineStr">
        <is>
          <t>0383634949</t>
        </is>
      </c>
      <c r="D2" s="29" t="s">
        <v>401</v>
      </c>
      <c r="E2" s="29" t="inlineStr">
        <is>
          <t>active</t>
        </is>
      </c>
      <c r="F2" s="29" t="s">
        <v>402</v>
      </c>
      <c r="G2" s="49">
        <v>0</v>
      </c>
      <c r="H2" s="49">
        <v>-1</v>
      </c>
      <c r="I2" s="49">
        <v>0</v>
      </c>
      <c r="J2" s="19"/>
      <c r="K2" s="33" t="s">
        <v>403</v>
      </c>
      <c r="L2" s="33" t="s">
        <v>404</v>
      </c>
    </row>
    <row r="3">
      <c r="A3" s="51"/>
      <c r="B3" s="52"/>
      <c r="C3" s="51"/>
      <c r="D3" s="52"/>
      <c r="E3" s="52"/>
      <c r="F3" s="52"/>
      <c r="G3" s="53"/>
      <c r="H3" s="53"/>
      <c r="I3" s="53"/>
      <c r="J3" s="25"/>
      <c r="K3" s="52"/>
      <c r="L3" s="52"/>
    </row>
    <row r="4">
      <c r="A4" s="44"/>
      <c r="B4" s="23"/>
      <c r="C4" s="44"/>
      <c r="D4" s="23"/>
      <c r="E4" s="23"/>
      <c r="F4" s="23"/>
      <c r="G4" s="54"/>
      <c r="H4" s="54"/>
      <c r="I4" s="54"/>
      <c r="J4" s="23"/>
      <c r="K4" s="45"/>
      <c r="L4" s="45"/>
    </row>
    <row r="5">
      <c r="A5" s="42"/>
      <c r="B5" s="25"/>
      <c r="C5" s="42"/>
      <c r="D5" s="25"/>
      <c r="E5" s="25"/>
      <c r="F5" s="25"/>
      <c r="G5" s="55"/>
      <c r="H5" s="55"/>
      <c r="I5" s="55"/>
      <c r="J5" s="25"/>
      <c r="K5" s="43"/>
      <c r="L5" s="43"/>
    </row>
    <row r="6">
      <c r="A6" s="44"/>
      <c r="B6" s="23"/>
      <c r="C6" s="44"/>
      <c r="D6" s="23"/>
      <c r="E6" s="23"/>
      <c r="F6" s="23"/>
      <c r="G6" s="54"/>
      <c r="H6" s="54"/>
      <c r="I6" s="54"/>
      <c r="J6" s="23"/>
      <c r="K6" s="45"/>
      <c r="L6" s="45"/>
    </row>
    <row r="7">
      <c r="A7" s="42"/>
      <c r="B7" s="25"/>
      <c r="C7" s="42"/>
      <c r="D7" s="25"/>
      <c r="E7" s="25"/>
      <c r="F7" s="25"/>
      <c r="G7" s="55"/>
      <c r="H7" s="55"/>
      <c r="I7" s="55"/>
      <c r="J7" s="25"/>
      <c r="K7" s="43"/>
      <c r="L7" s="43"/>
    </row>
    <row r="8">
      <c r="A8" s="44"/>
      <c r="B8" s="23"/>
      <c r="C8" s="44"/>
      <c r="D8" s="23"/>
      <c r="E8" s="23"/>
      <c r="F8" s="23"/>
      <c r="G8" s="54"/>
      <c r="H8" s="54"/>
      <c r="I8" s="54"/>
      <c r="J8" s="23"/>
      <c r="K8" s="45"/>
      <c r="L8" s="45"/>
    </row>
    <row r="9">
      <c r="A9" s="42"/>
      <c r="B9" s="25"/>
      <c r="C9" s="42"/>
      <c r="D9" s="25"/>
      <c r="E9" s="25"/>
      <c r="F9" s="25"/>
      <c r="G9" s="55"/>
      <c r="H9" s="55"/>
      <c r="I9" s="55"/>
      <c r="J9" s="25"/>
      <c r="K9" s="43"/>
      <c r="L9" s="43"/>
    </row>
    <row r="10">
      <c r="A10" s="44"/>
      <c r="B10" s="23"/>
      <c r="C10" s="44"/>
      <c r="D10" s="23"/>
      <c r="E10" s="23"/>
      <c r="F10" s="23"/>
      <c r="G10" s="54"/>
      <c r="H10" s="54"/>
      <c r="I10" s="54"/>
      <c r="J10" s="23"/>
      <c r="K10" s="45"/>
      <c r="L10" s="45"/>
    </row>
    <row r="11">
      <c r="A11" s="42"/>
      <c r="B11" s="25"/>
      <c r="C11" s="42"/>
      <c r="D11" s="25"/>
      <c r="E11" s="25"/>
      <c r="F11" s="25"/>
      <c r="G11" s="55"/>
      <c r="H11" s="55"/>
      <c r="I11" s="55"/>
      <c r="J11" s="25"/>
      <c r="K11" s="43"/>
      <c r="L11" s="43"/>
    </row>
    <row r="12">
      <c r="A12" s="44"/>
      <c r="B12" s="23"/>
      <c r="C12" s="44"/>
      <c r="D12" s="23"/>
      <c r="E12" s="23"/>
      <c r="F12" s="23"/>
      <c r="G12" s="54"/>
      <c r="H12" s="54"/>
      <c r="I12" s="54"/>
      <c r="J12" s="23"/>
      <c r="K12" s="45"/>
      <c r="L12" s="45"/>
    </row>
    <row r="13">
      <c r="A13" s="42"/>
      <c r="B13" s="25"/>
      <c r="C13" s="42"/>
      <c r="D13" s="25"/>
      <c r="E13" s="25"/>
      <c r="F13" s="25"/>
      <c r="G13" s="55"/>
      <c r="H13" s="55"/>
      <c r="I13" s="55"/>
      <c r="J13" s="25"/>
      <c r="K13" s="43"/>
      <c r="L13" s="43"/>
    </row>
    <row r="14">
      <c r="A14" s="44"/>
      <c r="B14" s="23"/>
      <c r="C14" s="44"/>
      <c r="D14" s="23"/>
      <c r="E14" s="23"/>
      <c r="F14" s="23"/>
      <c r="G14" s="54"/>
      <c r="H14" s="54"/>
      <c r="I14" s="54"/>
      <c r="J14" s="23"/>
      <c r="K14" s="45"/>
      <c r="L14" s="45"/>
    </row>
    <row r="15">
      <c r="A15" s="42"/>
      <c r="B15" s="25"/>
      <c r="C15" s="42"/>
      <c r="D15" s="25"/>
      <c r="E15" s="25"/>
      <c r="F15" s="25"/>
      <c r="G15" s="55"/>
      <c r="H15" s="55"/>
      <c r="I15" s="55"/>
      <c r="J15" s="25"/>
      <c r="K15" s="43"/>
      <c r="L15" s="43"/>
    </row>
    <row r="16">
      <c r="A16" s="44"/>
      <c r="B16" s="23"/>
      <c r="C16" s="44"/>
      <c r="D16" s="23"/>
      <c r="E16" s="23"/>
      <c r="F16" s="23"/>
      <c r="G16" s="54"/>
      <c r="H16" s="54"/>
      <c r="I16" s="54"/>
      <c r="J16" s="23"/>
      <c r="K16" s="45"/>
      <c r="L16" s="45"/>
    </row>
    <row r="17">
      <c r="A17" s="42"/>
      <c r="B17" s="25"/>
      <c r="C17" s="42"/>
      <c r="D17" s="25"/>
      <c r="E17" s="25"/>
      <c r="F17" s="25"/>
      <c r="G17" s="55"/>
      <c r="H17" s="55"/>
      <c r="I17" s="55"/>
      <c r="J17" s="25"/>
      <c r="K17" s="43"/>
      <c r="L17" s="43"/>
    </row>
    <row r="18">
      <c r="A18" s="44"/>
      <c r="B18" s="23"/>
      <c r="C18" s="44"/>
      <c r="D18" s="23"/>
      <c r="E18" s="23"/>
      <c r="F18" s="23"/>
      <c r="G18" s="54"/>
      <c r="H18" s="54"/>
      <c r="I18" s="54"/>
      <c r="J18" s="23"/>
      <c r="K18" s="45"/>
      <c r="L18" s="45"/>
    </row>
    <row r="19">
      <c r="A19" s="42"/>
      <c r="B19" s="25"/>
      <c r="C19" s="42"/>
      <c r="D19" s="25"/>
      <c r="E19" s="25"/>
      <c r="F19" s="25"/>
      <c r="G19" s="55"/>
      <c r="H19" s="55"/>
      <c r="I19" s="55"/>
      <c r="J19" s="25"/>
      <c r="K19" s="43"/>
      <c r="L19" s="43"/>
    </row>
    <row r="20">
      <c r="A20" s="44"/>
      <c r="B20" s="23"/>
      <c r="C20" s="44"/>
      <c r="D20" s="23"/>
      <c r="E20" s="23"/>
      <c r="F20" s="23"/>
      <c r="G20" s="54"/>
      <c r="H20" s="54"/>
      <c r="I20" s="54"/>
      <c r="J20" s="23"/>
      <c r="K20" s="45"/>
      <c r="L20" s="45"/>
    </row>
    <row r="21" ht="15.75" customHeight="1">
      <c r="A21" s="42"/>
      <c r="B21" s="25"/>
      <c r="C21" s="42"/>
      <c r="D21" s="25"/>
      <c r="E21" s="25"/>
      <c r="F21" s="25"/>
      <c r="G21" s="55"/>
      <c r="H21" s="55"/>
      <c r="I21" s="55"/>
      <c r="J21" s="25"/>
      <c r="K21" s="43"/>
      <c r="L21" s="43"/>
    </row>
    <row r="22" ht="15.75" customHeight="1">
      <c r="A22" s="44"/>
      <c r="B22" s="23"/>
      <c r="C22" s="44"/>
      <c r="D22" s="23"/>
      <c r="E22" s="23"/>
      <c r="F22" s="23"/>
      <c r="G22" s="54"/>
      <c r="H22" s="54"/>
      <c r="I22" s="54"/>
      <c r="J22" s="23"/>
      <c r="K22" s="45"/>
      <c r="L22" s="45"/>
    </row>
    <row r="23" ht="15.75" customHeight="1">
      <c r="A23" s="42"/>
      <c r="B23" s="25"/>
      <c r="C23" s="42"/>
      <c r="D23" s="25"/>
      <c r="E23" s="25"/>
      <c r="F23" s="25"/>
      <c r="G23" s="55"/>
      <c r="H23" s="55"/>
      <c r="I23" s="55"/>
      <c r="J23" s="25"/>
      <c r="K23" s="43"/>
      <c r="L23" s="43"/>
    </row>
    <row r="24" ht="15.75" customHeight="1">
      <c r="A24" s="44"/>
      <c r="B24" s="23"/>
      <c r="C24" s="44"/>
      <c r="D24" s="23"/>
      <c r="E24" s="23"/>
      <c r="F24" s="23"/>
      <c r="G24" s="54"/>
      <c r="H24" s="54"/>
      <c r="I24" s="54"/>
      <c r="J24" s="23"/>
      <c r="K24" s="45"/>
      <c r="L24" s="45"/>
    </row>
    <row r="25" ht="15.75" customHeight="1">
      <c r="A25" s="42"/>
      <c r="B25" s="25"/>
      <c r="C25" s="42"/>
      <c r="D25" s="25"/>
      <c r="E25" s="25"/>
      <c r="F25" s="25"/>
      <c r="G25" s="55"/>
      <c r="H25" s="55"/>
      <c r="I25" s="55"/>
      <c r="J25" s="25"/>
      <c r="K25" s="43"/>
      <c r="L25" s="43"/>
    </row>
    <row r="26" ht="15.75" customHeight="1">
      <c r="A26" s="44"/>
      <c r="B26" s="23"/>
      <c r="C26" s="44"/>
      <c r="D26" s="23"/>
      <c r="E26" s="23"/>
      <c r="F26" s="23"/>
      <c r="G26" s="54"/>
      <c r="H26" s="54"/>
      <c r="I26" s="54"/>
      <c r="J26" s="23"/>
      <c r="K26" s="45"/>
      <c r="L26" s="45"/>
    </row>
    <row r="27" ht="15.75" customHeight="1">
      <c r="A27" s="42"/>
      <c r="B27" s="25"/>
      <c r="C27" s="42"/>
      <c r="D27" s="25"/>
      <c r="E27" s="25"/>
      <c r="F27" s="25"/>
      <c r="G27" s="55"/>
      <c r="H27" s="55"/>
      <c r="I27" s="55"/>
      <c r="J27" s="25"/>
      <c r="K27" s="43"/>
      <c r="L27" s="43"/>
    </row>
    <row r="28" ht="15.75" customHeight="1">
      <c r="A28" s="44"/>
      <c r="B28" s="23"/>
      <c r="C28" s="44"/>
      <c r="D28" s="23"/>
      <c r="E28" s="23"/>
      <c r="F28" s="23"/>
      <c r="G28" s="54"/>
      <c r="H28" s="54"/>
      <c r="I28" s="54"/>
      <c r="J28" s="23"/>
      <c r="K28" s="45"/>
      <c r="L28" s="45"/>
    </row>
    <row r="29" ht="15.75" customHeight="1">
      <c r="A29" s="42"/>
      <c r="B29" s="25"/>
      <c r="C29" s="42"/>
      <c r="D29" s="25"/>
      <c r="E29" s="25"/>
      <c r="F29" s="25"/>
      <c r="G29" s="55"/>
      <c r="H29" s="55"/>
      <c r="I29" s="55"/>
      <c r="J29" s="25"/>
      <c r="K29" s="43"/>
      <c r="L29" s="43"/>
    </row>
    <row r="30" ht="15.75" customHeight="1">
      <c r="A30" s="44"/>
      <c r="B30" s="23"/>
      <c r="C30" s="44"/>
      <c r="D30" s="23"/>
      <c r="E30" s="23"/>
      <c r="F30" s="23"/>
      <c r="G30" s="54"/>
      <c r="H30" s="54"/>
      <c r="I30" s="54"/>
      <c r="J30" s="23"/>
      <c r="K30" s="45"/>
      <c r="L30" s="45"/>
    </row>
    <row r="31" ht="15.75" customHeight="1">
      <c r="A31" s="42"/>
      <c r="B31" s="25"/>
      <c r="C31" s="42"/>
      <c r="D31" s="25"/>
      <c r="E31" s="25"/>
      <c r="F31" s="25"/>
      <c r="G31" s="55"/>
      <c r="H31" s="55"/>
      <c r="I31" s="55"/>
      <c r="J31" s="25"/>
      <c r="K31" s="43"/>
      <c r="L31" s="43"/>
    </row>
    <row r="32" ht="15.75" customHeight="1">
      <c r="A32" s="44"/>
      <c r="B32" s="23"/>
      <c r="C32" s="44"/>
      <c r="D32" s="23"/>
      <c r="E32" s="23"/>
      <c r="F32" s="23"/>
      <c r="G32" s="54"/>
      <c r="H32" s="54"/>
      <c r="I32" s="54"/>
      <c r="J32" s="23"/>
      <c r="K32" s="45"/>
      <c r="L32" s="45"/>
    </row>
    <row r="33" ht="15.75" customHeight="1">
      <c r="A33" s="42"/>
      <c r="B33" s="25"/>
      <c r="C33" s="42"/>
      <c r="D33" s="25"/>
      <c r="E33" s="25"/>
      <c r="F33" s="25"/>
      <c r="G33" s="55"/>
      <c r="H33" s="55"/>
      <c r="I33" s="55"/>
      <c r="J33" s="25"/>
      <c r="K33" s="43"/>
      <c r="L33" s="43"/>
    </row>
    <row r="34" ht="15.75" customHeight="1">
      <c r="A34" s="44"/>
      <c r="B34" s="23"/>
      <c r="C34" s="44"/>
      <c r="D34" s="23"/>
      <c r="E34" s="23"/>
      <c r="F34" s="23"/>
      <c r="G34" s="54"/>
      <c r="H34" s="54"/>
      <c r="I34" s="54"/>
      <c r="J34" s="23"/>
      <c r="K34" s="45"/>
      <c r="L34" s="45"/>
    </row>
    <row r="35" ht="15.75" customHeight="1">
      <c r="A35" s="42"/>
      <c r="B35" s="25"/>
      <c r="C35" s="42"/>
      <c r="D35" s="25"/>
      <c r="E35" s="25"/>
      <c r="F35" s="25"/>
      <c r="G35" s="55"/>
      <c r="H35" s="55"/>
      <c r="I35" s="55"/>
      <c r="J35" s="25"/>
      <c r="K35" s="43"/>
      <c r="L35" s="43"/>
    </row>
    <row r="36" ht="15.75" customHeight="1">
      <c r="A36" s="44"/>
      <c r="B36" s="23"/>
      <c r="C36" s="44"/>
      <c r="D36" s="23"/>
      <c r="E36" s="23"/>
      <c r="F36" s="23"/>
      <c r="G36" s="54"/>
      <c r="H36" s="54"/>
      <c r="I36" s="54"/>
      <c r="J36" s="23"/>
      <c r="K36" s="45"/>
      <c r="L36" s="45"/>
    </row>
    <row r="37" ht="15.75" customHeight="1">
      <c r="A37" s="42"/>
      <c r="B37" s="25"/>
      <c r="C37" s="42"/>
      <c r="D37" s="25"/>
      <c r="E37" s="25"/>
      <c r="F37" s="25"/>
      <c r="G37" s="55"/>
      <c r="H37" s="55"/>
      <c r="I37" s="55"/>
      <c r="J37" s="25"/>
      <c r="K37" s="43"/>
      <c r="L37" s="43"/>
    </row>
    <row r="38" ht="15.75" customHeight="1">
      <c r="A38" s="44"/>
      <c r="B38" s="23"/>
      <c r="C38" s="44"/>
      <c r="D38" s="23"/>
      <c r="E38" s="23"/>
      <c r="F38" s="23"/>
      <c r="G38" s="54"/>
      <c r="H38" s="54"/>
      <c r="I38" s="54"/>
      <c r="J38" s="23"/>
      <c r="K38" s="45"/>
      <c r="L38" s="45"/>
    </row>
    <row r="39" ht="15.75" customHeight="1">
      <c r="A39" s="42"/>
      <c r="B39" s="25"/>
      <c r="C39" s="42"/>
      <c r="D39" s="25"/>
      <c r="E39" s="25"/>
      <c r="F39" s="25"/>
      <c r="G39" s="55"/>
      <c r="H39" s="55"/>
      <c r="I39" s="55"/>
      <c r="J39" s="25"/>
      <c r="K39" s="43"/>
      <c r="L39" s="43"/>
    </row>
    <row r="40" ht="15.75" customHeight="1">
      <c r="A40" s="44"/>
      <c r="B40" s="23"/>
      <c r="C40" s="44"/>
      <c r="D40" s="23"/>
      <c r="E40" s="23"/>
      <c r="F40" s="23"/>
      <c r="G40" s="54"/>
      <c r="H40" s="54"/>
      <c r="I40" s="54"/>
      <c r="J40" s="23"/>
      <c r="K40" s="45"/>
      <c r="L40" s="45"/>
    </row>
    <row r="41" ht="15.75" customHeight="1">
      <c r="A41" s="42"/>
      <c r="B41" s="25"/>
      <c r="C41" s="42"/>
      <c r="D41" s="25"/>
      <c r="E41" s="25"/>
      <c r="F41" s="25"/>
      <c r="G41" s="55"/>
      <c r="H41" s="55"/>
      <c r="I41" s="55"/>
      <c r="J41" s="25"/>
      <c r="K41" s="43"/>
      <c r="L41" s="43"/>
    </row>
    <row r="42" ht="15.75" customHeight="1">
      <c r="A42" s="44"/>
      <c r="B42" s="23"/>
      <c r="C42" s="44"/>
      <c r="D42" s="23"/>
      <c r="E42" s="23"/>
      <c r="F42" s="23"/>
      <c r="G42" s="54"/>
      <c r="H42" s="54"/>
      <c r="I42" s="54"/>
      <c r="J42" s="23"/>
      <c r="K42" s="45"/>
      <c r="L42" s="45"/>
    </row>
    <row r="43" ht="15.75" customHeight="1">
      <c r="A43" s="42"/>
      <c r="B43" s="25"/>
      <c r="C43" s="42"/>
      <c r="D43" s="25"/>
      <c r="E43" s="25"/>
      <c r="F43" s="25"/>
      <c r="G43" s="55"/>
      <c r="H43" s="55"/>
      <c r="I43" s="55"/>
      <c r="J43" s="25"/>
      <c r="K43" s="43"/>
      <c r="L43" s="43"/>
    </row>
    <row r="44" ht="15.75" customHeight="1">
      <c r="A44" s="44"/>
      <c r="B44" s="23"/>
      <c r="C44" s="44"/>
      <c r="D44" s="23"/>
      <c r="E44" s="23"/>
      <c r="F44" s="23"/>
      <c r="G44" s="54"/>
      <c r="H44" s="54"/>
      <c r="I44" s="54"/>
      <c r="J44" s="23"/>
      <c r="K44" s="45"/>
      <c r="L44" s="45"/>
    </row>
    <row r="45" ht="15.75" customHeight="1">
      <c r="A45" s="42"/>
      <c r="B45" s="25"/>
      <c r="C45" s="42"/>
      <c r="D45" s="25"/>
      <c r="E45" s="25"/>
      <c r="F45" s="25"/>
      <c r="G45" s="55"/>
      <c r="H45" s="55"/>
      <c r="I45" s="55"/>
      <c r="J45" s="25"/>
      <c r="K45" s="43"/>
      <c r="L45" s="43"/>
    </row>
    <row r="46" ht="15.75" customHeight="1">
      <c r="A46" s="44"/>
      <c r="B46" s="23"/>
      <c r="C46" s="44"/>
      <c r="D46" s="23"/>
      <c r="E46" s="23"/>
      <c r="F46" s="23"/>
      <c r="G46" s="54"/>
      <c r="H46" s="54"/>
      <c r="I46" s="54"/>
      <c r="J46" s="23"/>
      <c r="K46" s="45"/>
      <c r="L46" s="45"/>
    </row>
    <row r="47" ht="15.75" customHeight="1">
      <c r="A47" s="42"/>
      <c r="B47" s="25"/>
      <c r="C47" s="42"/>
      <c r="D47" s="25"/>
      <c r="E47" s="25"/>
      <c r="F47" s="25"/>
      <c r="G47" s="55"/>
      <c r="H47" s="55"/>
      <c r="I47" s="55"/>
      <c r="J47" s="25"/>
      <c r="K47" s="43"/>
      <c r="L47" s="43"/>
    </row>
    <row r="48" ht="15.75" customHeight="1">
      <c r="A48" s="44"/>
      <c r="B48" s="23"/>
      <c r="C48" s="44"/>
      <c r="D48" s="23"/>
      <c r="E48" s="23"/>
      <c r="F48" s="23"/>
      <c r="G48" s="54"/>
      <c r="H48" s="54"/>
      <c r="I48" s="54"/>
      <c r="J48" s="23"/>
      <c r="K48" s="45"/>
      <c r="L48" s="45"/>
    </row>
    <row r="49" ht="15.75" customHeight="1">
      <c r="A49" s="42"/>
      <c r="B49" s="25"/>
      <c r="C49" s="42"/>
      <c r="D49" s="25"/>
      <c r="E49" s="25"/>
      <c r="F49" s="25"/>
      <c r="G49" s="55"/>
      <c r="H49" s="55"/>
      <c r="I49" s="55"/>
      <c r="J49" s="25"/>
      <c r="K49" s="43"/>
      <c r="L49" s="43"/>
    </row>
    <row r="50" ht="15.75" customHeight="1">
      <c r="A50" s="44"/>
      <c r="B50" s="23"/>
      <c r="C50" s="44"/>
      <c r="D50" s="23"/>
      <c r="E50" s="23"/>
      <c r="F50" s="23"/>
      <c r="G50" s="54"/>
      <c r="H50" s="54"/>
      <c r="I50" s="54"/>
      <c r="J50" s="23"/>
      <c r="K50" s="45"/>
      <c r="L50" s="45"/>
    </row>
    <row r="51" ht="15.75" customHeight="1">
      <c r="A51" s="42"/>
      <c r="B51" s="25"/>
      <c r="C51" s="42"/>
      <c r="D51" s="25"/>
      <c r="E51" s="25"/>
      <c r="F51" s="25"/>
      <c r="G51" s="55"/>
      <c r="H51" s="55"/>
      <c r="I51" s="55"/>
      <c r="J51" s="25"/>
      <c r="K51" s="43"/>
      <c r="L51" s="43"/>
    </row>
    <row r="52" ht="15.75" customHeight="1">
      <c r="A52" s="44"/>
      <c r="B52" s="23"/>
      <c r="C52" s="44"/>
      <c r="D52" s="23"/>
      <c r="E52" s="23"/>
      <c r="F52" s="23"/>
      <c r="G52" s="54"/>
      <c r="H52" s="54"/>
      <c r="I52" s="54"/>
      <c r="J52" s="23"/>
      <c r="K52" s="45"/>
      <c r="L52" s="45"/>
    </row>
    <row r="53" ht="15.75" customHeight="1">
      <c r="A53" s="42"/>
      <c r="B53" s="25"/>
      <c r="C53" s="42"/>
      <c r="D53" s="25"/>
      <c r="E53" s="25"/>
      <c r="F53" s="25"/>
      <c r="G53" s="55"/>
      <c r="H53" s="55"/>
      <c r="I53" s="55"/>
      <c r="J53" s="25"/>
      <c r="K53" s="43"/>
      <c r="L53" s="43"/>
    </row>
    <row r="54" ht="15.75" customHeight="1">
      <c r="A54" s="44"/>
      <c r="B54" s="23"/>
      <c r="C54" s="44"/>
      <c r="D54" s="23"/>
      <c r="E54" s="23"/>
      <c r="F54" s="23"/>
      <c r="G54" s="54"/>
      <c r="H54" s="54"/>
      <c r="I54" s="54"/>
      <c r="J54" s="23"/>
      <c r="K54" s="45"/>
      <c r="L54" s="45"/>
    </row>
    <row r="55" ht="15.75" customHeight="1">
      <c r="A55" s="42"/>
      <c r="B55" s="25"/>
      <c r="C55" s="42"/>
      <c r="D55" s="25"/>
      <c r="E55" s="25"/>
      <c r="F55" s="25"/>
      <c r="G55" s="55"/>
      <c r="H55" s="55"/>
      <c r="I55" s="55"/>
      <c r="J55" s="25"/>
      <c r="K55" s="43"/>
      <c r="L55" s="43"/>
    </row>
    <row r="56" ht="15.75" customHeight="1">
      <c r="A56" s="44"/>
      <c r="B56" s="23"/>
      <c r="C56" s="44"/>
      <c r="D56" s="23"/>
      <c r="E56" s="23"/>
      <c r="F56" s="23"/>
      <c r="G56" s="54"/>
      <c r="H56" s="54"/>
      <c r="I56" s="54"/>
      <c r="J56" s="23"/>
      <c r="K56" s="45"/>
      <c r="L56" s="45"/>
    </row>
    <row r="57" ht="15.75" customHeight="1">
      <c r="A57" s="42"/>
      <c r="B57" s="25"/>
      <c r="C57" s="42"/>
      <c r="D57" s="25"/>
      <c r="E57" s="25"/>
      <c r="F57" s="25"/>
      <c r="G57" s="55"/>
      <c r="H57" s="55"/>
      <c r="I57" s="55"/>
      <c r="J57" s="25"/>
      <c r="K57" s="43"/>
      <c r="L57" s="43"/>
    </row>
    <row r="58" ht="15.75" customHeight="1">
      <c r="A58" s="44"/>
      <c r="B58" s="23"/>
      <c r="C58" s="44"/>
      <c r="D58" s="23"/>
      <c r="E58" s="23"/>
      <c r="F58" s="23"/>
      <c r="G58" s="54"/>
      <c r="H58" s="54"/>
      <c r="I58" s="54"/>
      <c r="J58" s="23"/>
      <c r="K58" s="45"/>
      <c r="L58" s="45"/>
    </row>
    <row r="59" ht="15.75" customHeight="1">
      <c r="A59" s="42"/>
      <c r="B59" s="25"/>
      <c r="C59" s="42"/>
      <c r="D59" s="25"/>
      <c r="E59" s="25"/>
      <c r="F59" s="25"/>
      <c r="G59" s="55"/>
      <c r="H59" s="55"/>
      <c r="I59" s="55"/>
      <c r="J59" s="25"/>
      <c r="K59" s="43"/>
      <c r="L59" s="43"/>
    </row>
    <row r="60" ht="15.75" customHeight="1">
      <c r="A60" s="44"/>
      <c r="B60" s="23"/>
      <c r="C60" s="44"/>
      <c r="D60" s="23"/>
      <c r="E60" s="23"/>
      <c r="F60" s="23"/>
      <c r="G60" s="54"/>
      <c r="H60" s="54"/>
      <c r="I60" s="54"/>
      <c r="J60" s="23"/>
      <c r="K60" s="45"/>
      <c r="L60" s="45"/>
    </row>
    <row r="61" ht="15.75" customHeight="1">
      <c r="A61" s="42"/>
      <c r="B61" s="25"/>
      <c r="C61" s="42"/>
      <c r="D61" s="25"/>
      <c r="E61" s="25"/>
      <c r="F61" s="25"/>
      <c r="G61" s="55"/>
      <c r="H61" s="55"/>
      <c r="I61" s="55"/>
      <c r="J61" s="25"/>
      <c r="K61" s="43"/>
      <c r="L61" s="43"/>
    </row>
    <row r="62" ht="15.75" customHeight="1">
      <c r="A62" s="44"/>
      <c r="B62" s="23"/>
      <c r="C62" s="44"/>
      <c r="D62" s="23"/>
      <c r="E62" s="23"/>
      <c r="F62" s="23"/>
      <c r="G62" s="54"/>
      <c r="H62" s="54"/>
      <c r="I62" s="54"/>
      <c r="J62" s="23"/>
      <c r="K62" s="45"/>
      <c r="L62" s="45"/>
    </row>
    <row r="63" ht="15.75" customHeight="1">
      <c r="A63" s="42"/>
      <c r="B63" s="25"/>
      <c r="C63" s="42"/>
      <c r="D63" s="25"/>
      <c r="E63" s="25"/>
      <c r="F63" s="25"/>
      <c r="G63" s="55"/>
      <c r="H63" s="55"/>
      <c r="I63" s="55"/>
      <c r="J63" s="25"/>
      <c r="K63" s="43"/>
      <c r="L63" s="43"/>
    </row>
    <row r="64" ht="15.75" customHeight="1">
      <c r="A64" s="44"/>
      <c r="B64" s="23"/>
      <c r="C64" s="44"/>
      <c r="D64" s="23"/>
      <c r="E64" s="23"/>
      <c r="F64" s="23"/>
      <c r="G64" s="54"/>
      <c r="H64" s="54"/>
      <c r="I64" s="54"/>
      <c r="J64" s="23"/>
      <c r="K64" s="45"/>
      <c r="L64" s="45"/>
    </row>
    <row r="65" ht="15.75" customHeight="1">
      <c r="A65" s="42"/>
      <c r="B65" s="25"/>
      <c r="C65" s="42"/>
      <c r="D65" s="25"/>
      <c r="E65" s="25"/>
      <c r="F65" s="25"/>
      <c r="G65" s="55"/>
      <c r="H65" s="55"/>
      <c r="I65" s="55"/>
      <c r="J65" s="25"/>
      <c r="K65" s="43"/>
      <c r="L65" s="43"/>
    </row>
    <row r="66" ht="15.75" customHeight="1">
      <c r="A66" s="44"/>
      <c r="B66" s="23"/>
      <c r="C66" s="44"/>
      <c r="D66" s="23"/>
      <c r="E66" s="23"/>
      <c r="F66" s="23"/>
      <c r="G66" s="54"/>
      <c r="H66" s="54"/>
      <c r="I66" s="54"/>
      <c r="J66" s="23"/>
      <c r="K66" s="45"/>
      <c r="L66" s="45"/>
    </row>
    <row r="67" ht="15.75" customHeight="1">
      <c r="A67" s="42"/>
      <c r="B67" s="25"/>
      <c r="C67" s="42"/>
      <c r="D67" s="25"/>
      <c r="E67" s="25"/>
      <c r="F67" s="25"/>
      <c r="G67" s="55"/>
      <c r="H67" s="55"/>
      <c r="I67" s="55"/>
      <c r="J67" s="25"/>
      <c r="K67" s="43"/>
      <c r="L67" s="43"/>
    </row>
    <row r="68" ht="15.75" customHeight="1">
      <c r="A68" s="44"/>
      <c r="B68" s="23"/>
      <c r="C68" s="44"/>
      <c r="D68" s="23"/>
      <c r="E68" s="23"/>
      <c r="F68" s="23"/>
      <c r="G68" s="54"/>
      <c r="H68" s="54"/>
      <c r="I68" s="54"/>
      <c r="J68" s="23"/>
      <c r="K68" s="45"/>
      <c r="L68" s="45"/>
    </row>
    <row r="69" ht="15.75" customHeight="1">
      <c r="A69" s="42"/>
      <c r="B69" s="25"/>
      <c r="C69" s="42"/>
      <c r="D69" s="25"/>
      <c r="E69" s="25"/>
      <c r="F69" s="25"/>
      <c r="G69" s="55"/>
      <c r="H69" s="55"/>
      <c r="I69" s="55"/>
      <c r="J69" s="25"/>
      <c r="K69" s="43"/>
      <c r="L69" s="43"/>
    </row>
    <row r="70" ht="15.75" customHeight="1">
      <c r="A70" s="44"/>
      <c r="B70" s="23"/>
      <c r="C70" s="44"/>
      <c r="D70" s="23"/>
      <c r="E70" s="23"/>
      <c r="F70" s="23"/>
      <c r="G70" s="54"/>
      <c r="H70" s="54"/>
      <c r="I70" s="54"/>
      <c r="J70" s="23"/>
      <c r="K70" s="45"/>
      <c r="L70" s="45"/>
    </row>
    <row r="71" ht="15.75" customHeight="1">
      <c r="A71" s="42"/>
      <c r="B71" s="25"/>
      <c r="C71" s="42"/>
      <c r="D71" s="25"/>
      <c r="E71" s="25"/>
      <c r="F71" s="25"/>
      <c r="G71" s="55"/>
      <c r="H71" s="55"/>
      <c r="I71" s="55"/>
      <c r="J71" s="25"/>
      <c r="K71" s="43"/>
      <c r="L71" s="43"/>
    </row>
    <row r="72" ht="15.75" customHeight="1">
      <c r="A72" s="44"/>
      <c r="B72" s="23"/>
      <c r="C72" s="44"/>
      <c r="D72" s="23"/>
      <c r="E72" s="23"/>
      <c r="F72" s="23"/>
      <c r="G72" s="54"/>
      <c r="H72" s="54"/>
      <c r="I72" s="54"/>
      <c r="J72" s="23"/>
      <c r="K72" s="45"/>
      <c r="L72" s="45"/>
    </row>
    <row r="73" ht="15.75" customHeight="1">
      <c r="A73" s="42"/>
      <c r="B73" s="25"/>
      <c r="C73" s="42"/>
      <c r="D73" s="25"/>
      <c r="E73" s="25"/>
      <c r="F73" s="25"/>
      <c r="G73" s="55"/>
      <c r="H73" s="55"/>
      <c r="I73" s="55"/>
      <c r="J73" s="25"/>
      <c r="K73" s="43"/>
      <c r="L73" s="43"/>
    </row>
    <row r="74" ht="15.75" customHeight="1">
      <c r="A74" s="44"/>
      <c r="B74" s="23"/>
      <c r="C74" s="44"/>
      <c r="D74" s="23"/>
      <c r="E74" s="23"/>
      <c r="F74" s="23"/>
      <c r="G74" s="54"/>
      <c r="H74" s="54"/>
      <c r="I74" s="54"/>
      <c r="J74" s="23"/>
      <c r="K74" s="45"/>
      <c r="L74" s="45"/>
    </row>
    <row r="75" ht="15.75" customHeight="1">
      <c r="A75" s="42"/>
      <c r="B75" s="25"/>
      <c r="C75" s="42"/>
      <c r="D75" s="25"/>
      <c r="E75" s="25"/>
      <c r="F75" s="25"/>
      <c r="G75" s="55"/>
      <c r="H75" s="55"/>
      <c r="I75" s="55"/>
      <c r="J75" s="25"/>
      <c r="K75" s="43"/>
      <c r="L75" s="43"/>
    </row>
    <row r="76" ht="15.75" customHeight="1">
      <c r="A76" s="44"/>
      <c r="B76" s="23"/>
      <c r="C76" s="44"/>
      <c r="D76" s="23"/>
      <c r="E76" s="23"/>
      <c r="F76" s="23"/>
      <c r="G76" s="54"/>
      <c r="H76" s="54"/>
      <c r="I76" s="54"/>
      <c r="J76" s="23"/>
      <c r="K76" s="45"/>
      <c r="L76" s="45"/>
    </row>
    <row r="77" ht="15.75" customHeight="1">
      <c r="A77" s="42"/>
      <c r="B77" s="25"/>
      <c r="C77" s="42"/>
      <c r="D77" s="25"/>
      <c r="E77" s="25"/>
      <c r="F77" s="25"/>
      <c r="G77" s="55"/>
      <c r="H77" s="55"/>
      <c r="I77" s="55"/>
      <c r="J77" s="25"/>
      <c r="K77" s="43"/>
      <c r="L77" s="43"/>
    </row>
    <row r="78" ht="15.75" customHeight="1">
      <c r="A78" s="44"/>
      <c r="B78" s="23"/>
      <c r="C78" s="44"/>
      <c r="D78" s="23"/>
      <c r="E78" s="23"/>
      <c r="F78" s="23"/>
      <c r="G78" s="54"/>
      <c r="H78" s="54"/>
      <c r="I78" s="54"/>
      <c r="J78" s="23"/>
      <c r="K78" s="45"/>
      <c r="L78" s="45"/>
    </row>
    <row r="79" ht="15.75" customHeight="1">
      <c r="A79" s="42"/>
      <c r="B79" s="25"/>
      <c r="C79" s="42"/>
      <c r="D79" s="25"/>
      <c r="E79" s="25"/>
      <c r="F79" s="25"/>
      <c r="G79" s="55"/>
      <c r="H79" s="55"/>
      <c r="I79" s="55"/>
      <c r="J79" s="25"/>
      <c r="K79" s="43"/>
      <c r="L79" s="43"/>
    </row>
    <row r="80" ht="15.75" customHeight="1">
      <c r="A80" s="44"/>
      <c r="B80" s="23"/>
      <c r="C80" s="44"/>
      <c r="D80" s="23"/>
      <c r="E80" s="23"/>
      <c r="F80" s="23"/>
      <c r="G80" s="54"/>
      <c r="H80" s="54"/>
      <c r="I80" s="54"/>
      <c r="J80" s="23"/>
      <c r="K80" s="45"/>
      <c r="L80" s="45"/>
    </row>
    <row r="81" ht="15.75" customHeight="1">
      <c r="A81" s="42"/>
      <c r="B81" s="25"/>
      <c r="C81" s="42"/>
      <c r="D81" s="25"/>
      <c r="E81" s="25"/>
      <c r="F81" s="25"/>
      <c r="G81" s="55"/>
      <c r="H81" s="55"/>
      <c r="I81" s="55"/>
      <c r="J81" s="25"/>
      <c r="K81" s="43"/>
      <c r="L81" s="43"/>
    </row>
    <row r="82" ht="15.75" customHeight="1">
      <c r="A82" s="44"/>
      <c r="B82" s="23"/>
      <c r="C82" s="44"/>
      <c r="D82" s="23"/>
      <c r="E82" s="23"/>
      <c r="F82" s="23"/>
      <c r="G82" s="54"/>
      <c r="H82" s="54"/>
      <c r="I82" s="54"/>
      <c r="J82" s="23"/>
      <c r="K82" s="45"/>
      <c r="L82" s="45"/>
    </row>
    <row r="83" ht="15.75" customHeight="1">
      <c r="A83" s="42"/>
      <c r="B83" s="25"/>
      <c r="C83" s="42"/>
      <c r="D83" s="25"/>
      <c r="E83" s="25"/>
      <c r="F83" s="25"/>
      <c r="G83" s="55"/>
      <c r="H83" s="55"/>
      <c r="I83" s="55"/>
      <c r="J83" s="25"/>
      <c r="K83" s="43"/>
      <c r="L83" s="43"/>
    </row>
    <row r="84" ht="15.75" customHeight="1">
      <c r="A84" s="44"/>
      <c r="B84" s="23"/>
      <c r="C84" s="44"/>
      <c r="D84" s="23"/>
      <c r="E84" s="23"/>
      <c r="F84" s="23"/>
      <c r="G84" s="54"/>
      <c r="H84" s="54"/>
      <c r="I84" s="54"/>
      <c r="J84" s="23"/>
      <c r="K84" s="45"/>
      <c r="L84" s="45"/>
    </row>
    <row r="85" ht="15.75" customHeight="1">
      <c r="A85" s="42"/>
      <c r="B85" s="25"/>
      <c r="C85" s="42"/>
      <c r="D85" s="25"/>
      <c r="E85" s="25"/>
      <c r="F85" s="25"/>
      <c r="G85" s="55"/>
      <c r="H85" s="55"/>
      <c r="I85" s="55"/>
      <c r="J85" s="25"/>
      <c r="K85" s="43"/>
      <c r="L85" s="43"/>
    </row>
    <row r="86" ht="15.75" customHeight="1">
      <c r="A86" s="44"/>
      <c r="B86" s="23"/>
      <c r="C86" s="44"/>
      <c r="D86" s="23"/>
      <c r="E86" s="23"/>
      <c r="F86" s="23"/>
      <c r="G86" s="54"/>
      <c r="H86" s="54"/>
      <c r="I86" s="54"/>
      <c r="J86" s="23"/>
      <c r="K86" s="45"/>
      <c r="L86" s="45"/>
    </row>
    <row r="87" ht="15.75" customHeight="1">
      <c r="A87" s="42"/>
      <c r="B87" s="25"/>
      <c r="C87" s="42"/>
      <c r="D87" s="25"/>
      <c r="E87" s="25"/>
      <c r="F87" s="25"/>
      <c r="G87" s="55"/>
      <c r="H87" s="55"/>
      <c r="I87" s="55"/>
      <c r="J87" s="25"/>
      <c r="K87" s="43"/>
      <c r="L87" s="43"/>
    </row>
    <row r="88" ht="15.75" customHeight="1">
      <c r="A88" s="44"/>
      <c r="B88" s="23"/>
      <c r="C88" s="44"/>
      <c r="D88" s="23"/>
      <c r="E88" s="23"/>
      <c r="F88" s="23"/>
      <c r="G88" s="54"/>
      <c r="H88" s="54"/>
      <c r="I88" s="54"/>
      <c r="J88" s="23"/>
      <c r="K88" s="45"/>
      <c r="L88" s="45"/>
    </row>
    <row r="89" ht="15.75" customHeight="1">
      <c r="A89" s="42"/>
      <c r="B89" s="25"/>
      <c r="C89" s="42"/>
      <c r="D89" s="25"/>
      <c r="E89" s="25"/>
      <c r="F89" s="25"/>
      <c r="G89" s="55"/>
      <c r="H89" s="55"/>
      <c r="I89" s="55"/>
      <c r="J89" s="25"/>
      <c r="K89" s="43"/>
      <c r="L89" s="43"/>
    </row>
    <row r="90" ht="15.75" customHeight="1">
      <c r="A90" s="44"/>
      <c r="B90" s="23"/>
      <c r="C90" s="44"/>
      <c r="D90" s="23"/>
      <c r="E90" s="23"/>
      <c r="F90" s="23"/>
      <c r="G90" s="54"/>
      <c r="H90" s="54"/>
      <c r="I90" s="54"/>
      <c r="J90" s="23"/>
      <c r="K90" s="45"/>
      <c r="L90" s="45"/>
    </row>
    <row r="91" ht="15.75" customHeight="1">
      <c r="A91" s="42"/>
      <c r="B91" s="25"/>
      <c r="C91" s="42"/>
      <c r="D91" s="25"/>
      <c r="E91" s="25"/>
      <c r="F91" s="25"/>
      <c r="G91" s="55"/>
      <c r="H91" s="55"/>
      <c r="I91" s="55"/>
      <c r="J91" s="25"/>
      <c r="K91" s="43"/>
      <c r="L91" s="43"/>
    </row>
    <row r="92" ht="15.75" customHeight="1">
      <c r="A92" s="44"/>
      <c r="B92" s="23"/>
      <c r="C92" s="44"/>
      <c r="D92" s="23"/>
      <c r="E92" s="23"/>
      <c r="F92" s="23"/>
      <c r="G92" s="54"/>
      <c r="H92" s="54"/>
      <c r="I92" s="54"/>
      <c r="J92" s="23"/>
      <c r="K92" s="45"/>
      <c r="L92" s="45"/>
    </row>
    <row r="93" ht="15.75" customHeight="1">
      <c r="A93" s="42"/>
      <c r="B93" s="25"/>
      <c r="C93" s="42"/>
      <c r="D93" s="25"/>
      <c r="E93" s="25"/>
      <c r="F93" s="25"/>
      <c r="G93" s="55"/>
      <c r="H93" s="55"/>
      <c r="I93" s="55"/>
      <c r="J93" s="25"/>
      <c r="K93" s="43"/>
      <c r="L93" s="43"/>
    </row>
    <row r="94" ht="15.75" customHeight="1">
      <c r="A94" s="44"/>
      <c r="B94" s="23"/>
      <c r="C94" s="44"/>
      <c r="D94" s="23"/>
      <c r="E94" s="23"/>
      <c r="F94" s="23"/>
      <c r="G94" s="54"/>
      <c r="H94" s="54"/>
      <c r="I94" s="54"/>
      <c r="J94" s="23"/>
      <c r="K94" s="45"/>
      <c r="L94" s="45"/>
    </row>
    <row r="95" ht="15.75" customHeight="1">
      <c r="A95" s="42"/>
      <c r="B95" s="25"/>
      <c r="C95" s="42"/>
      <c r="D95" s="25"/>
      <c r="E95" s="25"/>
      <c r="F95" s="25"/>
      <c r="G95" s="55"/>
      <c r="H95" s="55"/>
      <c r="I95" s="55"/>
      <c r="J95" s="25"/>
      <c r="K95" s="43"/>
      <c r="L95" s="43"/>
    </row>
    <row r="96" ht="15.75" customHeight="1">
      <c r="A96" s="44"/>
      <c r="B96" s="23"/>
      <c r="C96" s="44"/>
      <c r="D96" s="23"/>
      <c r="E96" s="23"/>
      <c r="F96" s="23"/>
      <c r="G96" s="54"/>
      <c r="H96" s="54"/>
      <c r="I96" s="54"/>
      <c r="J96" s="23"/>
      <c r="K96" s="45"/>
      <c r="L96" s="45"/>
    </row>
    <row r="97" ht="15.75" customHeight="1">
      <c r="A97" s="42"/>
      <c r="B97" s="25"/>
      <c r="C97" s="42"/>
      <c r="D97" s="25"/>
      <c r="E97" s="25"/>
      <c r="F97" s="25"/>
      <c r="G97" s="55"/>
      <c r="H97" s="55"/>
      <c r="I97" s="55"/>
      <c r="J97" s="25"/>
      <c r="K97" s="43"/>
      <c r="L97" s="43"/>
    </row>
    <row r="98" ht="15.75" customHeight="1">
      <c r="A98" s="44"/>
      <c r="B98" s="23"/>
      <c r="C98" s="44"/>
      <c r="D98" s="23"/>
      <c r="E98" s="23"/>
      <c r="F98" s="23"/>
      <c r="G98" s="54"/>
      <c r="H98" s="54"/>
      <c r="I98" s="54"/>
      <c r="J98" s="23"/>
      <c r="K98" s="45"/>
      <c r="L98" s="45"/>
    </row>
    <row r="99" ht="15.75" customHeight="1">
      <c r="A99" s="42"/>
      <c r="B99" s="25"/>
      <c r="C99" s="42"/>
      <c r="D99" s="25"/>
      <c r="E99" s="25"/>
      <c r="F99" s="25"/>
      <c r="G99" s="55"/>
      <c r="H99" s="55"/>
      <c r="I99" s="55"/>
      <c r="J99" s="25"/>
      <c r="K99" s="43"/>
      <c r="L99" s="43"/>
    </row>
    <row r="100" ht="15.75" customHeight="1">
      <c r="A100" s="44"/>
      <c r="B100" s="23"/>
      <c r="C100" s="44"/>
      <c r="D100" s="23"/>
      <c r="E100" s="23"/>
      <c r="F100" s="23"/>
      <c r="G100" s="54"/>
      <c r="H100" s="54"/>
      <c r="I100" s="54"/>
      <c r="J100" s="23"/>
      <c r="K100" s="45"/>
      <c r="L100" s="45"/>
    </row>
    <row r="101" ht="15.75" customHeight="1">
      <c r="A101" s="42"/>
      <c r="B101" s="25"/>
      <c r="C101" s="42"/>
      <c r="D101" s="25"/>
      <c r="E101" s="25"/>
      <c r="F101" s="25"/>
      <c r="G101" s="55"/>
      <c r="H101" s="55"/>
      <c r="I101" s="55"/>
      <c r="J101" s="25"/>
      <c r="K101" s="43"/>
      <c r="L101" s="43"/>
    </row>
    <row r="102" ht="15.75" customHeight="1">
      <c r="A102" s="44"/>
      <c r="B102" s="23"/>
      <c r="C102" s="44"/>
      <c r="D102" s="23"/>
      <c r="E102" s="23"/>
      <c r="F102" s="23"/>
      <c r="G102" s="54"/>
      <c r="H102" s="54"/>
      <c r="I102" s="54"/>
      <c r="J102" s="23"/>
      <c r="K102" s="45"/>
      <c r="L102" s="45"/>
    </row>
    <row r="103" ht="15.75" customHeight="1">
      <c r="A103" s="42"/>
      <c r="B103" s="25"/>
      <c r="C103" s="42"/>
      <c r="D103" s="25"/>
      <c r="E103" s="25"/>
      <c r="F103" s="25"/>
      <c r="G103" s="55"/>
      <c r="H103" s="55"/>
      <c r="I103" s="55"/>
      <c r="J103" s="25"/>
      <c r="K103" s="43"/>
      <c r="L103" s="43"/>
    </row>
    <row r="104" ht="15.75" customHeight="1">
      <c r="A104" s="44"/>
      <c r="B104" s="23"/>
      <c r="C104" s="44"/>
      <c r="D104" s="23"/>
      <c r="E104" s="23"/>
      <c r="F104" s="23"/>
      <c r="G104" s="54"/>
      <c r="H104" s="54"/>
      <c r="I104" s="54"/>
      <c r="J104" s="23"/>
      <c r="K104" s="45"/>
      <c r="L104" s="45"/>
    </row>
    <row r="105" ht="15.75" customHeight="1">
      <c r="A105" s="42"/>
      <c r="B105" s="25"/>
      <c r="C105" s="42"/>
      <c r="D105" s="25"/>
      <c r="E105" s="25"/>
      <c r="F105" s="25"/>
      <c r="G105" s="55"/>
      <c r="H105" s="55"/>
      <c r="I105" s="55"/>
      <c r="J105" s="25"/>
      <c r="K105" s="43"/>
      <c r="L105" s="43"/>
    </row>
    <row r="106" ht="15.75" customHeight="1">
      <c r="A106" s="44"/>
      <c r="B106" s="23"/>
      <c r="C106" s="44"/>
      <c r="D106" s="23"/>
      <c r="E106" s="23"/>
      <c r="F106" s="23"/>
      <c r="G106" s="54"/>
      <c r="H106" s="54"/>
      <c r="I106" s="54"/>
      <c r="J106" s="23"/>
      <c r="K106" s="45"/>
      <c r="L106" s="45"/>
    </row>
    <row r="107" ht="15.75" customHeight="1">
      <c r="A107" s="42"/>
      <c r="B107" s="25"/>
      <c r="C107" s="42"/>
      <c r="D107" s="25"/>
      <c r="E107" s="25"/>
      <c r="F107" s="25"/>
      <c r="G107" s="55"/>
      <c r="H107" s="55"/>
      <c r="I107" s="55"/>
      <c r="J107" s="25"/>
      <c r="K107" s="43"/>
      <c r="L107" s="43"/>
    </row>
    <row r="108" ht="15.75" customHeight="1">
      <c r="A108" s="44"/>
      <c r="B108" s="23"/>
      <c r="C108" s="44"/>
      <c r="D108" s="23"/>
      <c r="E108" s="23"/>
      <c r="F108" s="23"/>
      <c r="G108" s="54"/>
      <c r="H108" s="54"/>
      <c r="I108" s="54"/>
      <c r="J108" s="23"/>
      <c r="K108" s="45"/>
      <c r="L108" s="45"/>
    </row>
    <row r="109" ht="15.75" customHeight="1">
      <c r="A109" s="42"/>
      <c r="B109" s="25"/>
      <c r="C109" s="42"/>
      <c r="D109" s="25"/>
      <c r="E109" s="25"/>
      <c r="F109" s="25"/>
      <c r="G109" s="55"/>
      <c r="H109" s="55"/>
      <c r="I109" s="55"/>
      <c r="J109" s="25"/>
      <c r="K109" s="43"/>
      <c r="L109" s="43"/>
    </row>
    <row r="110" ht="15.75" customHeight="1">
      <c r="A110" s="44"/>
      <c r="B110" s="23"/>
      <c r="C110" s="44"/>
      <c r="D110" s="23"/>
      <c r="E110" s="23"/>
      <c r="F110" s="23"/>
      <c r="G110" s="54"/>
      <c r="H110" s="54"/>
      <c r="I110" s="54"/>
      <c r="J110" s="23"/>
      <c r="K110" s="45"/>
      <c r="L110" s="45"/>
    </row>
    <row r="111" ht="15.75" customHeight="1">
      <c r="A111" s="42"/>
      <c r="B111" s="25"/>
      <c r="C111" s="42"/>
      <c r="D111" s="25"/>
      <c r="E111" s="25"/>
      <c r="F111" s="25"/>
      <c r="G111" s="55"/>
      <c r="H111" s="55"/>
      <c r="I111" s="55"/>
      <c r="J111" s="25"/>
      <c r="K111" s="43"/>
      <c r="L111" s="43"/>
    </row>
    <row r="112" ht="15.75" customHeight="1">
      <c r="A112" s="44"/>
      <c r="B112" s="23"/>
      <c r="C112" s="44"/>
      <c r="D112" s="23"/>
      <c r="E112" s="23"/>
      <c r="F112" s="23"/>
      <c r="G112" s="54"/>
      <c r="H112" s="54"/>
      <c r="I112" s="54"/>
      <c r="J112" s="23"/>
      <c r="K112" s="45"/>
      <c r="L112" s="45"/>
    </row>
    <row r="113" ht="15.75" customHeight="1">
      <c r="A113" s="42"/>
      <c r="B113" s="25"/>
      <c r="C113" s="42"/>
      <c r="D113" s="25"/>
      <c r="E113" s="25"/>
      <c r="F113" s="25"/>
      <c r="G113" s="55"/>
      <c r="H113" s="55"/>
      <c r="I113" s="55"/>
      <c r="J113" s="25"/>
      <c r="K113" s="43"/>
      <c r="L113" s="43"/>
    </row>
    <row r="114" ht="15.75" customHeight="1">
      <c r="A114" s="44"/>
      <c r="B114" s="23"/>
      <c r="C114" s="44"/>
      <c r="D114" s="23"/>
      <c r="E114" s="23"/>
      <c r="F114" s="23"/>
      <c r="G114" s="54"/>
      <c r="H114" s="54"/>
      <c r="I114" s="54"/>
      <c r="J114" s="23"/>
      <c r="K114" s="45"/>
      <c r="L114" s="45"/>
    </row>
    <row r="115" ht="15.75" customHeight="1">
      <c r="A115" s="42"/>
      <c r="B115" s="25"/>
      <c r="C115" s="42"/>
      <c r="D115" s="25"/>
      <c r="E115" s="25"/>
      <c r="F115" s="25"/>
      <c r="G115" s="55"/>
      <c r="H115" s="55"/>
      <c r="I115" s="55"/>
      <c r="J115" s="25"/>
      <c r="K115" s="43"/>
      <c r="L115" s="43"/>
    </row>
    <row r="116" ht="15.75" customHeight="1">
      <c r="A116" s="44"/>
      <c r="B116" s="23"/>
      <c r="C116" s="44"/>
      <c r="D116" s="23"/>
      <c r="E116" s="23"/>
      <c r="F116" s="23"/>
      <c r="G116" s="54"/>
      <c r="H116" s="54"/>
      <c r="I116" s="54"/>
      <c r="J116" s="23"/>
      <c r="K116" s="45"/>
      <c r="L116" s="45"/>
    </row>
    <row r="117" ht="15.75" customHeight="1">
      <c r="A117" s="42"/>
      <c r="B117" s="25"/>
      <c r="C117" s="42"/>
      <c r="D117" s="25"/>
      <c r="E117" s="25"/>
      <c r="F117" s="25"/>
      <c r="G117" s="55"/>
      <c r="H117" s="55"/>
      <c r="I117" s="55"/>
      <c r="J117" s="25"/>
      <c r="K117" s="43"/>
      <c r="L117" s="43"/>
    </row>
    <row r="118" ht="15.75" customHeight="1">
      <c r="A118" s="44"/>
      <c r="B118" s="23"/>
      <c r="C118" s="44"/>
      <c r="D118" s="23"/>
      <c r="E118" s="23"/>
      <c r="F118" s="23"/>
      <c r="G118" s="54"/>
      <c r="H118" s="54"/>
      <c r="I118" s="54"/>
      <c r="J118" s="23"/>
      <c r="K118" s="45"/>
      <c r="L118" s="45"/>
    </row>
    <row r="119" ht="15.75" customHeight="1">
      <c r="A119" s="42"/>
      <c r="B119" s="25"/>
      <c r="C119" s="42"/>
      <c r="D119" s="25"/>
      <c r="E119" s="25"/>
      <c r="F119" s="25"/>
      <c r="G119" s="55"/>
      <c r="H119" s="55"/>
      <c r="I119" s="55"/>
      <c r="J119" s="25"/>
      <c r="K119" s="43"/>
      <c r="L119" s="43"/>
    </row>
    <row r="120" ht="15.75" customHeight="1">
      <c r="A120" s="44"/>
      <c r="B120" s="23"/>
      <c r="C120" s="44"/>
      <c r="D120" s="23"/>
      <c r="E120" s="23"/>
      <c r="F120" s="23"/>
      <c r="G120" s="54"/>
      <c r="H120" s="54"/>
      <c r="I120" s="54"/>
      <c r="J120" s="23"/>
      <c r="K120" s="45"/>
      <c r="L120" s="45"/>
    </row>
    <row r="121" ht="15.75" customHeight="1">
      <c r="A121" s="42"/>
      <c r="B121" s="25"/>
      <c r="C121" s="42"/>
      <c r="D121" s="25"/>
      <c r="E121" s="25"/>
      <c r="F121" s="25"/>
      <c r="G121" s="55"/>
      <c r="H121" s="55"/>
      <c r="I121" s="55"/>
      <c r="J121" s="25"/>
      <c r="K121" s="43"/>
      <c r="L121" s="43"/>
    </row>
    <row r="122" ht="15.75" customHeight="1">
      <c r="A122" s="44"/>
      <c r="B122" s="23"/>
      <c r="C122" s="44"/>
      <c r="D122" s="23"/>
      <c r="E122" s="23"/>
      <c r="F122" s="23"/>
      <c r="G122" s="54"/>
      <c r="H122" s="54"/>
      <c r="I122" s="54"/>
      <c r="J122" s="23"/>
      <c r="K122" s="45"/>
      <c r="L122" s="45"/>
    </row>
    <row r="123" ht="15.75" customHeight="1">
      <c r="A123" s="42"/>
      <c r="B123" s="25"/>
      <c r="C123" s="42"/>
      <c r="D123" s="25"/>
      <c r="E123" s="25"/>
      <c r="F123" s="25"/>
      <c r="G123" s="55"/>
      <c r="H123" s="55"/>
      <c r="I123" s="55"/>
      <c r="J123" s="25"/>
      <c r="K123" s="43"/>
      <c r="L123" s="43"/>
    </row>
    <row r="124" ht="15.75" customHeight="1">
      <c r="A124" s="44"/>
      <c r="B124" s="23"/>
      <c r="C124" s="44"/>
      <c r="D124" s="23"/>
      <c r="E124" s="23"/>
      <c r="F124" s="23"/>
      <c r="G124" s="54"/>
      <c r="H124" s="54"/>
      <c r="I124" s="54"/>
      <c r="J124" s="23"/>
      <c r="K124" s="45"/>
      <c r="L124" s="45"/>
    </row>
    <row r="125" ht="15.75" customHeight="1">
      <c r="A125" s="42"/>
      <c r="B125" s="25"/>
      <c r="C125" s="42"/>
      <c r="D125" s="25"/>
      <c r="E125" s="25"/>
      <c r="F125" s="25"/>
      <c r="G125" s="55"/>
      <c r="H125" s="55"/>
      <c r="I125" s="55"/>
      <c r="J125" s="25"/>
      <c r="K125" s="43"/>
      <c r="L125" s="43"/>
    </row>
    <row r="126" ht="15.75" customHeight="1">
      <c r="A126" s="44"/>
      <c r="B126" s="23"/>
      <c r="C126" s="44"/>
      <c r="D126" s="23"/>
      <c r="E126" s="23"/>
      <c r="F126" s="23"/>
      <c r="G126" s="54"/>
      <c r="H126" s="54"/>
      <c r="I126" s="54"/>
      <c r="J126" s="23"/>
      <c r="K126" s="45"/>
      <c r="L126" s="45"/>
    </row>
    <row r="127" ht="15.75" customHeight="1">
      <c r="A127" s="42"/>
      <c r="B127" s="25"/>
      <c r="C127" s="42"/>
      <c r="D127" s="25"/>
      <c r="E127" s="25"/>
      <c r="F127" s="25"/>
      <c r="G127" s="55"/>
      <c r="H127" s="55"/>
      <c r="I127" s="55"/>
      <c r="J127" s="25"/>
      <c r="K127" s="43"/>
      <c r="L127" s="43"/>
    </row>
    <row r="128" ht="15.75" customHeight="1">
      <c r="A128" s="44"/>
      <c r="B128" s="23"/>
      <c r="C128" s="44"/>
      <c r="D128" s="23"/>
      <c r="E128" s="23"/>
      <c r="F128" s="23"/>
      <c r="G128" s="54"/>
      <c r="H128" s="54"/>
      <c r="I128" s="54"/>
      <c r="J128" s="23"/>
      <c r="K128" s="45"/>
      <c r="L128" s="45"/>
    </row>
    <row r="129" ht="15.75" customHeight="1">
      <c r="A129" s="42"/>
      <c r="B129" s="25"/>
      <c r="C129" s="42"/>
      <c r="D129" s="25"/>
      <c r="E129" s="25"/>
      <c r="F129" s="25"/>
      <c r="G129" s="55"/>
      <c r="H129" s="55"/>
      <c r="I129" s="55"/>
      <c r="J129" s="25"/>
      <c r="K129" s="43"/>
      <c r="L129" s="43"/>
    </row>
    <row r="130" ht="15.75" customHeight="1">
      <c r="A130" s="44"/>
      <c r="B130" s="23"/>
      <c r="C130" s="44"/>
      <c r="D130" s="23"/>
      <c r="E130" s="23"/>
      <c r="F130" s="23"/>
      <c r="G130" s="54"/>
      <c r="H130" s="54"/>
      <c r="I130" s="54"/>
      <c r="J130" s="23"/>
      <c r="K130" s="45"/>
      <c r="L130" s="45"/>
    </row>
    <row r="131" ht="15.75" customHeight="1">
      <c r="A131" s="42"/>
      <c r="B131" s="25"/>
      <c r="C131" s="42"/>
      <c r="D131" s="25"/>
      <c r="E131" s="25"/>
      <c r="F131" s="25"/>
      <c r="G131" s="55"/>
      <c r="H131" s="55"/>
      <c r="I131" s="55"/>
      <c r="J131" s="25"/>
      <c r="K131" s="43"/>
      <c r="L131" s="43"/>
    </row>
    <row r="132" ht="15.75" customHeight="1">
      <c r="A132" s="44"/>
      <c r="B132" s="23"/>
      <c r="C132" s="44"/>
      <c r="D132" s="23"/>
      <c r="E132" s="23"/>
      <c r="F132" s="23"/>
      <c r="G132" s="54"/>
      <c r="H132" s="54"/>
      <c r="I132" s="54"/>
      <c r="J132" s="23"/>
      <c r="K132" s="45"/>
      <c r="L132" s="45"/>
    </row>
    <row r="133" ht="15.75" customHeight="1">
      <c r="A133" s="42"/>
      <c r="B133" s="25"/>
      <c r="C133" s="42"/>
      <c r="D133" s="25"/>
      <c r="E133" s="25"/>
      <c r="F133" s="25"/>
      <c r="G133" s="55"/>
      <c r="H133" s="55"/>
      <c r="I133" s="55"/>
      <c r="J133" s="25"/>
      <c r="K133" s="43"/>
      <c r="L133" s="43"/>
    </row>
    <row r="134" ht="15.75" customHeight="1">
      <c r="A134" s="44"/>
      <c r="B134" s="23"/>
      <c r="C134" s="44"/>
      <c r="D134" s="23"/>
      <c r="E134" s="23"/>
      <c r="F134" s="23"/>
      <c r="G134" s="54"/>
      <c r="H134" s="54"/>
      <c r="I134" s="54"/>
      <c r="J134" s="23"/>
      <c r="K134" s="45"/>
      <c r="L134" s="45"/>
    </row>
    <row r="135" ht="15.75" customHeight="1">
      <c r="A135" s="42"/>
      <c r="B135" s="25"/>
      <c r="C135" s="42"/>
      <c r="D135" s="25"/>
      <c r="E135" s="25"/>
      <c r="F135" s="25"/>
      <c r="G135" s="55"/>
      <c r="H135" s="55"/>
      <c r="I135" s="55"/>
      <c r="J135" s="25"/>
      <c r="K135" s="43"/>
      <c r="L135" s="43"/>
    </row>
    <row r="136" ht="15.75" customHeight="1">
      <c r="A136" s="44"/>
      <c r="B136" s="23"/>
      <c r="C136" s="44"/>
      <c r="D136" s="23"/>
      <c r="E136" s="23"/>
      <c r="F136" s="23"/>
      <c r="G136" s="54"/>
      <c r="H136" s="54"/>
      <c r="I136" s="54"/>
      <c r="J136" s="23"/>
      <c r="K136" s="45"/>
      <c r="L136" s="45"/>
    </row>
    <row r="137" ht="15.75" customHeight="1">
      <c r="A137" s="42"/>
      <c r="B137" s="25"/>
      <c r="C137" s="42"/>
      <c r="D137" s="25"/>
      <c r="E137" s="25"/>
      <c r="F137" s="25"/>
      <c r="G137" s="55"/>
      <c r="H137" s="55"/>
      <c r="I137" s="55"/>
      <c r="J137" s="25"/>
      <c r="K137" s="43"/>
      <c r="L137" s="43"/>
    </row>
    <row r="138" ht="15.75" customHeight="1">
      <c r="A138" s="44"/>
      <c r="B138" s="23"/>
      <c r="C138" s="44"/>
      <c r="D138" s="23"/>
      <c r="E138" s="23"/>
      <c r="F138" s="23"/>
      <c r="G138" s="54"/>
      <c r="H138" s="54"/>
      <c r="I138" s="54"/>
      <c r="J138" s="23"/>
      <c r="K138" s="45"/>
      <c r="L138" s="45"/>
    </row>
    <row r="139" ht="15.75" customHeight="1">
      <c r="A139" s="42"/>
      <c r="B139" s="25"/>
      <c r="C139" s="42"/>
      <c r="D139" s="25"/>
      <c r="E139" s="25"/>
      <c r="F139" s="25"/>
      <c r="G139" s="55"/>
      <c r="H139" s="55"/>
      <c r="I139" s="55"/>
      <c r="J139" s="25"/>
      <c r="K139" s="43"/>
      <c r="L139" s="43"/>
    </row>
    <row r="140" ht="15.75" customHeight="1">
      <c r="A140" s="44"/>
      <c r="B140" s="23"/>
      <c r="C140" s="44"/>
      <c r="D140" s="23"/>
      <c r="E140" s="23"/>
      <c r="F140" s="23"/>
      <c r="G140" s="54"/>
      <c r="H140" s="54"/>
      <c r="I140" s="54"/>
      <c r="J140" s="23"/>
      <c r="K140" s="45"/>
      <c r="L140" s="45"/>
    </row>
    <row r="141" ht="15.75" customHeight="1">
      <c r="A141" s="42"/>
      <c r="B141" s="25"/>
      <c r="C141" s="42"/>
      <c r="D141" s="25"/>
      <c r="E141" s="25"/>
      <c r="F141" s="25"/>
      <c r="G141" s="55"/>
      <c r="H141" s="55"/>
      <c r="I141" s="55"/>
      <c r="J141" s="25"/>
      <c r="K141" s="43"/>
      <c r="L141" s="43"/>
    </row>
    <row r="142" ht="15.75" customHeight="1">
      <c r="A142" s="44"/>
      <c r="B142" s="23"/>
      <c r="C142" s="44"/>
      <c r="D142" s="23"/>
      <c r="E142" s="23"/>
      <c r="F142" s="23"/>
      <c r="G142" s="54"/>
      <c r="H142" s="54"/>
      <c r="I142" s="54"/>
      <c r="J142" s="23"/>
      <c r="K142" s="45"/>
      <c r="L142" s="45"/>
    </row>
    <row r="143" ht="15.75" customHeight="1">
      <c r="A143" s="42"/>
      <c r="B143" s="25"/>
      <c r="C143" s="42"/>
      <c r="D143" s="25"/>
      <c r="E143" s="25"/>
      <c r="F143" s="25"/>
      <c r="G143" s="55"/>
      <c r="H143" s="55"/>
      <c r="I143" s="55"/>
      <c r="J143" s="25"/>
      <c r="K143" s="43"/>
      <c r="L143" s="43"/>
    </row>
    <row r="144" ht="15.75" customHeight="1">
      <c r="A144" s="44"/>
      <c r="B144" s="23"/>
      <c r="C144" s="44"/>
      <c r="D144" s="23"/>
      <c r="E144" s="23"/>
      <c r="F144" s="23"/>
      <c r="G144" s="54"/>
      <c r="H144" s="54"/>
      <c r="I144" s="54"/>
      <c r="J144" s="23"/>
      <c r="K144" s="45"/>
      <c r="L144" s="45"/>
    </row>
    <row r="145" ht="15.75" customHeight="1">
      <c r="A145" s="42"/>
      <c r="B145" s="25"/>
      <c r="C145" s="42"/>
      <c r="D145" s="25"/>
      <c r="E145" s="25"/>
      <c r="F145" s="25"/>
      <c r="G145" s="55"/>
      <c r="H145" s="55"/>
      <c r="I145" s="55"/>
      <c r="J145" s="25"/>
      <c r="K145" s="43"/>
      <c r="L145" s="43"/>
    </row>
    <row r="146" ht="15.75" customHeight="1">
      <c r="A146" s="44"/>
      <c r="B146" s="23"/>
      <c r="C146" s="44"/>
      <c r="D146" s="23"/>
      <c r="E146" s="23"/>
      <c r="F146" s="23"/>
      <c r="G146" s="54"/>
      <c r="H146" s="54"/>
      <c r="I146" s="54"/>
      <c r="J146" s="23"/>
      <c r="K146" s="45"/>
      <c r="L146" s="45"/>
    </row>
    <row r="147" ht="15.75" customHeight="1">
      <c r="A147" s="42"/>
      <c r="B147" s="25"/>
      <c r="C147" s="42"/>
      <c r="D147" s="25"/>
      <c r="E147" s="25"/>
      <c r="F147" s="25"/>
      <c r="G147" s="55"/>
      <c r="H147" s="55"/>
      <c r="I147" s="55"/>
      <c r="J147" s="25"/>
      <c r="K147" s="43"/>
      <c r="L147" s="43"/>
    </row>
    <row r="148" ht="15.75" customHeight="1">
      <c r="A148" s="44"/>
      <c r="B148" s="23"/>
      <c r="C148" s="44"/>
      <c r="D148" s="23"/>
      <c r="E148" s="23"/>
      <c r="F148" s="23"/>
      <c r="G148" s="54"/>
      <c r="H148" s="54"/>
      <c r="I148" s="54"/>
      <c r="J148" s="23"/>
      <c r="K148" s="45"/>
      <c r="L148" s="45"/>
    </row>
    <row r="149" ht="15.75" customHeight="1">
      <c r="A149" s="42"/>
      <c r="B149" s="25"/>
      <c r="C149" s="42"/>
      <c r="D149" s="25"/>
      <c r="E149" s="25"/>
      <c r="F149" s="25"/>
      <c r="G149" s="55"/>
      <c r="H149" s="55"/>
      <c r="I149" s="55"/>
      <c r="J149" s="25"/>
      <c r="K149" s="43"/>
      <c r="L149" s="43"/>
    </row>
    <row r="150" ht="15.75" customHeight="1">
      <c r="A150" s="44"/>
      <c r="B150" s="23"/>
      <c r="C150" s="44"/>
      <c r="D150" s="23"/>
      <c r="E150" s="23"/>
      <c r="F150" s="23"/>
      <c r="G150" s="54"/>
      <c r="H150" s="54"/>
      <c r="I150" s="54"/>
      <c r="J150" s="23"/>
      <c r="K150" s="45"/>
      <c r="L150" s="45"/>
    </row>
    <row r="151" ht="15.75" customHeight="1">
      <c r="A151" s="42"/>
      <c r="B151" s="25"/>
      <c r="C151" s="42"/>
      <c r="D151" s="25"/>
      <c r="E151" s="25"/>
      <c r="F151" s="25"/>
      <c r="G151" s="55"/>
      <c r="H151" s="55"/>
      <c r="I151" s="55"/>
      <c r="J151" s="25"/>
      <c r="K151" s="43"/>
      <c r="L151" s="43"/>
    </row>
    <row r="152" ht="15.75" customHeight="1">
      <c r="A152" s="44"/>
      <c r="B152" s="23"/>
      <c r="C152" s="44"/>
      <c r="D152" s="23"/>
      <c r="E152" s="23"/>
      <c r="F152" s="23"/>
      <c r="G152" s="54"/>
      <c r="H152" s="54"/>
      <c r="I152" s="54"/>
      <c r="J152" s="23"/>
      <c r="K152" s="45"/>
      <c r="L152" s="45"/>
    </row>
    <row r="153" ht="15.75" customHeight="1">
      <c r="A153" s="42"/>
      <c r="B153" s="25"/>
      <c r="C153" s="42"/>
      <c r="D153" s="25"/>
      <c r="E153" s="25"/>
      <c r="F153" s="25"/>
      <c r="G153" s="55"/>
      <c r="H153" s="55"/>
      <c r="I153" s="55"/>
      <c r="J153" s="25"/>
      <c r="K153" s="43"/>
      <c r="L153" s="43"/>
    </row>
    <row r="154" ht="15.75" customHeight="1">
      <c r="A154" s="44"/>
      <c r="B154" s="23"/>
      <c r="C154" s="44"/>
      <c r="D154" s="23"/>
      <c r="E154" s="23"/>
      <c r="F154" s="23"/>
      <c r="G154" s="54"/>
      <c r="H154" s="54"/>
      <c r="I154" s="54"/>
      <c r="J154" s="23"/>
      <c r="K154" s="45"/>
      <c r="L154" s="45"/>
    </row>
    <row r="155" ht="15.75" customHeight="1">
      <c r="A155" s="42"/>
      <c r="B155" s="25"/>
      <c r="C155" s="42"/>
      <c r="D155" s="25"/>
      <c r="E155" s="25"/>
      <c r="F155" s="25"/>
      <c r="G155" s="55"/>
      <c r="H155" s="55"/>
      <c r="I155" s="55"/>
      <c r="J155" s="25"/>
      <c r="K155" s="43"/>
      <c r="L155" s="43"/>
    </row>
    <row r="156" ht="15.75" customHeight="1">
      <c r="A156" s="44"/>
      <c r="B156" s="23"/>
      <c r="C156" s="44"/>
      <c r="D156" s="23"/>
      <c r="E156" s="23"/>
      <c r="F156" s="23"/>
      <c r="G156" s="54"/>
      <c r="H156" s="54"/>
      <c r="I156" s="54"/>
      <c r="J156" s="23"/>
      <c r="K156" s="45"/>
      <c r="L156" s="45"/>
    </row>
    <row r="157" ht="15.75" customHeight="1">
      <c r="A157" s="42"/>
      <c r="B157" s="25"/>
      <c r="C157" s="42"/>
      <c r="D157" s="25"/>
      <c r="E157" s="25"/>
      <c r="F157" s="25"/>
      <c r="G157" s="55"/>
      <c r="H157" s="55"/>
      <c r="I157" s="55"/>
      <c r="J157" s="25"/>
      <c r="K157" s="43"/>
      <c r="L157" s="43"/>
    </row>
    <row r="158" ht="15.75" customHeight="1">
      <c r="A158" s="44"/>
      <c r="B158" s="23"/>
      <c r="C158" s="44"/>
      <c r="D158" s="23"/>
      <c r="E158" s="23"/>
      <c r="F158" s="23"/>
      <c r="G158" s="54"/>
      <c r="H158" s="54"/>
      <c r="I158" s="54"/>
      <c r="J158" s="23"/>
      <c r="K158" s="45"/>
      <c r="L158" s="45"/>
    </row>
    <row r="159" ht="15.75" customHeight="1">
      <c r="A159" s="42"/>
      <c r="B159" s="25"/>
      <c r="C159" s="42"/>
      <c r="D159" s="25"/>
      <c r="E159" s="25"/>
      <c r="F159" s="25"/>
      <c r="G159" s="55"/>
      <c r="H159" s="55"/>
      <c r="I159" s="55"/>
      <c r="J159" s="25"/>
      <c r="K159" s="43"/>
      <c r="L159" s="43"/>
    </row>
    <row r="160" ht="15.75" customHeight="1">
      <c r="A160" s="44"/>
      <c r="B160" s="23"/>
      <c r="C160" s="44"/>
      <c r="D160" s="23"/>
      <c r="E160" s="23"/>
      <c r="F160" s="23"/>
      <c r="G160" s="54"/>
      <c r="H160" s="54"/>
      <c r="I160" s="54"/>
      <c r="J160" s="23"/>
      <c r="K160" s="45"/>
      <c r="L160" s="45"/>
    </row>
    <row r="161" ht="15.75" customHeight="1">
      <c r="A161" s="42"/>
      <c r="B161" s="25"/>
      <c r="C161" s="42"/>
      <c r="D161" s="25"/>
      <c r="E161" s="25"/>
      <c r="F161" s="25"/>
      <c r="G161" s="55"/>
      <c r="H161" s="55"/>
      <c r="I161" s="55"/>
      <c r="J161" s="25"/>
      <c r="K161" s="43"/>
      <c r="L161" s="43"/>
    </row>
    <row r="162" ht="15.75" customHeight="1">
      <c r="A162" s="44"/>
      <c r="B162" s="23"/>
      <c r="C162" s="44"/>
      <c r="D162" s="23"/>
      <c r="E162" s="23"/>
      <c r="F162" s="23"/>
      <c r="G162" s="54"/>
      <c r="H162" s="54"/>
      <c r="I162" s="54"/>
      <c r="J162" s="23"/>
      <c r="K162" s="45"/>
      <c r="L162" s="45"/>
    </row>
    <row r="163" ht="15.75" customHeight="1">
      <c r="A163" s="42"/>
      <c r="B163" s="25"/>
      <c r="C163" s="42"/>
      <c r="D163" s="25"/>
      <c r="E163" s="25"/>
      <c r="F163" s="25"/>
      <c r="G163" s="55"/>
      <c r="H163" s="55"/>
      <c r="I163" s="55"/>
      <c r="J163" s="25"/>
      <c r="K163" s="43"/>
      <c r="L163" s="43"/>
    </row>
    <row r="164" ht="15.75" customHeight="1">
      <c r="A164" s="44"/>
      <c r="B164" s="23"/>
      <c r="C164" s="44"/>
      <c r="D164" s="23"/>
      <c r="E164" s="23"/>
      <c r="F164" s="23"/>
      <c r="G164" s="54"/>
      <c r="H164" s="54"/>
      <c r="I164" s="54"/>
      <c r="J164" s="23"/>
      <c r="K164" s="45"/>
      <c r="L164" s="45"/>
    </row>
    <row r="165" ht="15.75" customHeight="1">
      <c r="A165" s="42"/>
      <c r="B165" s="25"/>
      <c r="C165" s="42"/>
      <c r="D165" s="25"/>
      <c r="E165" s="25"/>
      <c r="F165" s="25"/>
      <c r="G165" s="55"/>
      <c r="H165" s="55"/>
      <c r="I165" s="55"/>
      <c r="J165" s="25"/>
      <c r="K165" s="43"/>
      <c r="L165" s="43"/>
    </row>
    <row r="166" ht="15.75" customHeight="1">
      <c r="A166" s="44"/>
      <c r="B166" s="23"/>
      <c r="C166" s="44"/>
      <c r="D166" s="23"/>
      <c r="E166" s="23"/>
      <c r="F166" s="23"/>
      <c r="G166" s="54"/>
      <c r="H166" s="54"/>
      <c r="I166" s="54"/>
      <c r="J166" s="23"/>
      <c r="K166" s="45"/>
      <c r="L166" s="45"/>
    </row>
    <row r="167" ht="15.75" customHeight="1">
      <c r="A167" s="42"/>
      <c r="B167" s="25"/>
      <c r="C167" s="42"/>
      <c r="D167" s="25"/>
      <c r="E167" s="25"/>
      <c r="F167" s="25"/>
      <c r="G167" s="55"/>
      <c r="H167" s="55"/>
      <c r="I167" s="55"/>
      <c r="J167" s="25"/>
      <c r="K167" s="43"/>
      <c r="L167" s="43"/>
    </row>
    <row r="168" ht="15.75" customHeight="1">
      <c r="A168" s="44"/>
      <c r="B168" s="23"/>
      <c r="C168" s="44"/>
      <c r="D168" s="23"/>
      <c r="E168" s="23"/>
      <c r="F168" s="23"/>
      <c r="G168" s="54"/>
      <c r="H168" s="54"/>
      <c r="I168" s="54"/>
      <c r="J168" s="23"/>
      <c r="K168" s="45"/>
      <c r="L168" s="45"/>
    </row>
    <row r="169" ht="15.75" customHeight="1">
      <c r="A169" s="42"/>
      <c r="B169" s="25"/>
      <c r="C169" s="42"/>
      <c r="D169" s="25"/>
      <c r="E169" s="25"/>
      <c r="F169" s="25"/>
      <c r="G169" s="55"/>
      <c r="H169" s="55"/>
      <c r="I169" s="55"/>
      <c r="J169" s="25"/>
      <c r="K169" s="43"/>
      <c r="L169" s="43"/>
    </row>
    <row r="170" ht="15.75" customHeight="1">
      <c r="A170" s="44"/>
      <c r="B170" s="23"/>
      <c r="C170" s="44"/>
      <c r="D170" s="23"/>
      <c r="E170" s="23"/>
      <c r="F170" s="23"/>
      <c r="G170" s="54"/>
      <c r="H170" s="54"/>
      <c r="I170" s="54"/>
      <c r="J170" s="23"/>
      <c r="K170" s="45"/>
      <c r="L170" s="45"/>
    </row>
    <row r="171" ht="15.75" customHeight="1">
      <c r="A171" s="42"/>
      <c r="B171" s="25"/>
      <c r="C171" s="42"/>
      <c r="D171" s="25"/>
      <c r="E171" s="25"/>
      <c r="F171" s="25"/>
      <c r="G171" s="55"/>
      <c r="H171" s="55"/>
      <c r="I171" s="55"/>
      <c r="J171" s="25"/>
      <c r="K171" s="43"/>
      <c r="L171" s="43"/>
    </row>
    <row r="172" ht="15.75" customHeight="1">
      <c r="A172" s="44"/>
      <c r="B172" s="23"/>
      <c r="C172" s="44"/>
      <c r="D172" s="23"/>
      <c r="E172" s="23"/>
      <c r="F172" s="23"/>
      <c r="G172" s="54"/>
      <c r="H172" s="54"/>
      <c r="I172" s="54"/>
      <c r="J172" s="23"/>
      <c r="K172" s="45"/>
      <c r="L172" s="45"/>
    </row>
    <row r="173" ht="15.75" customHeight="1">
      <c r="A173" s="42"/>
      <c r="B173" s="25"/>
      <c r="C173" s="42"/>
      <c r="D173" s="25"/>
      <c r="E173" s="25"/>
      <c r="F173" s="25"/>
      <c r="G173" s="55"/>
      <c r="H173" s="55"/>
      <c r="I173" s="55"/>
      <c r="J173" s="25"/>
      <c r="K173" s="43"/>
      <c r="L173" s="43"/>
    </row>
    <row r="174" ht="15.75" customHeight="1">
      <c r="A174" s="44"/>
      <c r="B174" s="23"/>
      <c r="C174" s="44"/>
      <c r="D174" s="23"/>
      <c r="E174" s="23"/>
      <c r="F174" s="23"/>
      <c r="G174" s="54"/>
      <c r="H174" s="54"/>
      <c r="I174" s="54"/>
      <c r="J174" s="23"/>
      <c r="K174" s="45"/>
      <c r="L174" s="45"/>
    </row>
    <row r="175" ht="15.75" customHeight="1">
      <c r="A175" s="42"/>
      <c r="B175" s="25"/>
      <c r="C175" s="42"/>
      <c r="D175" s="25"/>
      <c r="E175" s="25"/>
      <c r="F175" s="25"/>
      <c r="G175" s="55"/>
      <c r="H175" s="55"/>
      <c r="I175" s="55"/>
      <c r="J175" s="25"/>
      <c r="K175" s="43"/>
      <c r="L175" s="43"/>
    </row>
    <row r="176" ht="15.75" customHeight="1">
      <c r="A176" s="44"/>
      <c r="B176" s="23"/>
      <c r="C176" s="44"/>
      <c r="D176" s="23"/>
      <c r="E176" s="23"/>
      <c r="F176" s="23"/>
      <c r="G176" s="54"/>
      <c r="H176" s="54"/>
      <c r="I176" s="54"/>
      <c r="J176" s="23"/>
      <c r="K176" s="45"/>
      <c r="L176" s="45"/>
    </row>
    <row r="177" ht="15.75" customHeight="1">
      <c r="A177" s="42"/>
      <c r="B177" s="25"/>
      <c r="C177" s="42"/>
      <c r="D177" s="25"/>
      <c r="E177" s="25"/>
      <c r="F177" s="25"/>
      <c r="G177" s="55"/>
      <c r="H177" s="55"/>
      <c r="I177" s="55"/>
      <c r="J177" s="25"/>
      <c r="K177" s="43"/>
      <c r="L177" s="43"/>
    </row>
    <row r="178" ht="15.75" customHeight="1">
      <c r="A178" s="44"/>
      <c r="B178" s="23"/>
      <c r="C178" s="44"/>
      <c r="D178" s="23"/>
      <c r="E178" s="23"/>
      <c r="F178" s="23"/>
      <c r="G178" s="54"/>
      <c r="H178" s="54"/>
      <c r="I178" s="54"/>
      <c r="J178" s="23"/>
      <c r="K178" s="45"/>
      <c r="L178" s="45"/>
    </row>
    <row r="179" ht="15.75" customHeight="1">
      <c r="A179" s="42"/>
      <c r="B179" s="25"/>
      <c r="C179" s="42"/>
      <c r="D179" s="25"/>
      <c r="E179" s="25"/>
      <c r="F179" s="25"/>
      <c r="G179" s="55"/>
      <c r="H179" s="55"/>
      <c r="I179" s="55"/>
      <c r="J179" s="25"/>
      <c r="K179" s="43"/>
      <c r="L179" s="43"/>
    </row>
    <row r="180" ht="15.75" customHeight="1">
      <c r="A180" s="44"/>
      <c r="B180" s="23"/>
      <c r="C180" s="44"/>
      <c r="D180" s="23"/>
      <c r="E180" s="23"/>
      <c r="F180" s="23"/>
      <c r="G180" s="54"/>
      <c r="H180" s="54"/>
      <c r="I180" s="54"/>
      <c r="J180" s="23"/>
      <c r="K180" s="45"/>
      <c r="L180" s="45"/>
    </row>
    <row r="181" ht="15.75" customHeight="1">
      <c r="A181" s="42"/>
      <c r="B181" s="25"/>
      <c r="C181" s="42"/>
      <c r="D181" s="25"/>
      <c r="E181" s="25"/>
      <c r="F181" s="25"/>
      <c r="G181" s="55"/>
      <c r="H181" s="55"/>
      <c r="I181" s="55"/>
      <c r="J181" s="25"/>
      <c r="K181" s="43"/>
      <c r="L181" s="43"/>
    </row>
    <row r="182" ht="15.75" customHeight="1">
      <c r="A182" s="44"/>
      <c r="B182" s="23"/>
      <c r="C182" s="44"/>
      <c r="D182" s="23"/>
      <c r="E182" s="23"/>
      <c r="F182" s="23"/>
      <c r="G182" s="54"/>
      <c r="H182" s="54"/>
      <c r="I182" s="54"/>
      <c r="J182" s="23"/>
      <c r="K182" s="45"/>
      <c r="L182" s="45"/>
    </row>
    <row r="183" ht="15.75" customHeight="1">
      <c r="A183" s="42"/>
      <c r="B183" s="25"/>
      <c r="C183" s="42"/>
      <c r="D183" s="25"/>
      <c r="E183" s="25"/>
      <c r="F183" s="25"/>
      <c r="G183" s="55"/>
      <c r="H183" s="55"/>
      <c r="I183" s="55"/>
      <c r="J183" s="25"/>
      <c r="K183" s="43"/>
      <c r="L183" s="43"/>
    </row>
    <row r="184" ht="15.75" customHeight="1">
      <c r="A184" s="44"/>
      <c r="B184" s="23"/>
      <c r="C184" s="44"/>
      <c r="D184" s="23"/>
      <c r="E184" s="23"/>
      <c r="F184" s="23"/>
      <c r="G184" s="54"/>
      <c r="H184" s="54"/>
      <c r="I184" s="54"/>
      <c r="J184" s="23"/>
      <c r="K184" s="45"/>
      <c r="L184" s="45"/>
    </row>
    <row r="185" ht="15.75" customHeight="1">
      <c r="A185" s="42"/>
      <c r="B185" s="25"/>
      <c r="C185" s="42"/>
      <c r="D185" s="25"/>
      <c r="E185" s="25"/>
      <c r="F185" s="25"/>
      <c r="G185" s="55"/>
      <c r="H185" s="55"/>
      <c r="I185" s="55"/>
      <c r="J185" s="25"/>
      <c r="K185" s="43"/>
      <c r="L185" s="43"/>
    </row>
    <row r="186" ht="15.75" customHeight="1">
      <c r="A186" s="44"/>
      <c r="B186" s="23"/>
      <c r="C186" s="44"/>
      <c r="D186" s="23"/>
      <c r="E186" s="23"/>
      <c r="F186" s="23"/>
      <c r="G186" s="54"/>
      <c r="H186" s="54"/>
      <c r="I186" s="54"/>
      <c r="J186" s="23"/>
      <c r="K186" s="45"/>
      <c r="L186" s="45"/>
    </row>
    <row r="187" ht="15.75" customHeight="1">
      <c r="A187" s="42"/>
      <c r="B187" s="25"/>
      <c r="C187" s="42"/>
      <c r="D187" s="25"/>
      <c r="E187" s="25"/>
      <c r="F187" s="25"/>
      <c r="G187" s="55"/>
      <c r="H187" s="55"/>
      <c r="I187" s="55"/>
      <c r="J187" s="25"/>
      <c r="K187" s="43"/>
      <c r="L187" s="43"/>
    </row>
    <row r="188" ht="15.75" customHeight="1">
      <c r="A188" s="44"/>
      <c r="B188" s="23"/>
      <c r="C188" s="44"/>
      <c r="D188" s="23"/>
      <c r="E188" s="23"/>
      <c r="F188" s="23"/>
      <c r="G188" s="54"/>
      <c r="H188" s="54"/>
      <c r="I188" s="54"/>
      <c r="J188" s="23"/>
      <c r="K188" s="45"/>
      <c r="L188" s="45"/>
    </row>
    <row r="189" ht="15.75" customHeight="1">
      <c r="A189" s="42"/>
      <c r="B189" s="25"/>
      <c r="C189" s="42"/>
      <c r="D189" s="25"/>
      <c r="E189" s="25"/>
      <c r="F189" s="25"/>
      <c r="G189" s="55"/>
      <c r="H189" s="55"/>
      <c r="I189" s="55"/>
      <c r="J189" s="25"/>
      <c r="K189" s="43"/>
      <c r="L189" s="43"/>
    </row>
    <row r="190" ht="15.75" customHeight="1">
      <c r="A190" s="44"/>
      <c r="B190" s="23"/>
      <c r="C190" s="44"/>
      <c r="D190" s="23"/>
      <c r="E190" s="23"/>
      <c r="F190" s="23"/>
      <c r="G190" s="54"/>
      <c r="H190" s="54"/>
      <c r="I190" s="54"/>
      <c r="J190" s="23"/>
      <c r="K190" s="45"/>
      <c r="L190" s="45"/>
    </row>
    <row r="191" ht="15.75" customHeight="1">
      <c r="A191" s="42"/>
      <c r="B191" s="25"/>
      <c r="C191" s="42"/>
      <c r="D191" s="25"/>
      <c r="E191" s="25"/>
      <c r="F191" s="25"/>
      <c r="G191" s="55"/>
      <c r="H191" s="55"/>
      <c r="I191" s="55"/>
      <c r="J191" s="25"/>
      <c r="K191" s="43"/>
      <c r="L191" s="43"/>
    </row>
    <row r="192" ht="15.75" customHeight="1">
      <c r="A192" s="44"/>
      <c r="B192" s="23"/>
      <c r="C192" s="44"/>
      <c r="D192" s="23"/>
      <c r="E192" s="23"/>
      <c r="F192" s="23"/>
      <c r="G192" s="54"/>
      <c r="H192" s="54"/>
      <c r="I192" s="54"/>
      <c r="J192" s="23"/>
      <c r="K192" s="45"/>
      <c r="L192" s="45"/>
    </row>
    <row r="193" ht="15.75" customHeight="1">
      <c r="A193" s="42"/>
      <c r="B193" s="25"/>
      <c r="C193" s="42"/>
      <c r="D193" s="25"/>
      <c r="E193" s="25"/>
      <c r="F193" s="25"/>
      <c r="G193" s="55"/>
      <c r="H193" s="55"/>
      <c r="I193" s="55"/>
      <c r="J193" s="25"/>
      <c r="K193" s="43"/>
      <c r="L193" s="43"/>
    </row>
    <row r="194" ht="15.75" customHeight="1">
      <c r="A194" s="44"/>
      <c r="B194" s="23"/>
      <c r="C194" s="44"/>
      <c r="D194" s="23"/>
      <c r="E194" s="23"/>
      <c r="F194" s="23"/>
      <c r="G194" s="54"/>
      <c r="H194" s="54"/>
      <c r="I194" s="54"/>
      <c r="J194" s="23"/>
      <c r="K194" s="45"/>
      <c r="L194" s="45"/>
    </row>
    <row r="195" ht="15.75" customHeight="1">
      <c r="A195" s="42"/>
      <c r="B195" s="25"/>
      <c r="C195" s="42"/>
      <c r="D195" s="25"/>
      <c r="E195" s="25"/>
      <c r="F195" s="25"/>
      <c r="G195" s="55"/>
      <c r="H195" s="55"/>
      <c r="I195" s="55"/>
      <c r="J195" s="25"/>
      <c r="K195" s="43"/>
      <c r="L195" s="43"/>
    </row>
    <row r="196" ht="15.75" customHeight="1">
      <c r="A196" s="44"/>
      <c r="B196" s="23"/>
      <c r="C196" s="44"/>
      <c r="D196" s="23"/>
      <c r="E196" s="23"/>
      <c r="F196" s="23"/>
      <c r="G196" s="54"/>
      <c r="H196" s="54"/>
      <c r="I196" s="54"/>
      <c r="J196" s="23"/>
      <c r="K196" s="45"/>
      <c r="L196" s="45"/>
    </row>
    <row r="197" ht="15.75" customHeight="1">
      <c r="A197" s="42"/>
      <c r="B197" s="25"/>
      <c r="C197" s="42"/>
      <c r="D197" s="25"/>
      <c r="E197" s="25"/>
      <c r="F197" s="25"/>
      <c r="G197" s="55"/>
      <c r="H197" s="55"/>
      <c r="I197" s="55"/>
      <c r="J197" s="25"/>
      <c r="K197" s="43"/>
      <c r="L197" s="43"/>
    </row>
    <row r="198" ht="15.75" customHeight="1">
      <c r="A198" s="44"/>
      <c r="B198" s="23"/>
      <c r="C198" s="44"/>
      <c r="D198" s="23"/>
      <c r="E198" s="23"/>
      <c r="F198" s="23"/>
      <c r="G198" s="54"/>
      <c r="H198" s="54"/>
      <c r="I198" s="54"/>
      <c r="J198" s="23"/>
      <c r="K198" s="45"/>
      <c r="L198" s="45"/>
    </row>
    <row r="199" ht="15.75" customHeight="1">
      <c r="A199" s="42"/>
      <c r="B199" s="25"/>
      <c r="C199" s="42"/>
      <c r="D199" s="25"/>
      <c r="E199" s="25"/>
      <c r="F199" s="25"/>
      <c r="G199" s="55"/>
      <c r="H199" s="55"/>
      <c r="I199" s="55"/>
      <c r="J199" s="25"/>
      <c r="K199" s="43"/>
      <c r="L199" s="43"/>
    </row>
    <row r="200" ht="15.75" customHeight="1">
      <c r="A200" s="44"/>
      <c r="B200" s="23"/>
      <c r="C200" s="44"/>
      <c r="D200" s="23"/>
      <c r="E200" s="23"/>
      <c r="F200" s="23"/>
      <c r="G200" s="54"/>
      <c r="H200" s="54"/>
      <c r="I200" s="54"/>
      <c r="J200" s="23"/>
      <c r="K200" s="45"/>
      <c r="L200" s="45"/>
    </row>
    <row r="201" ht="15.75" customHeight="1">
      <c r="A201" s="42"/>
      <c r="B201" s="25"/>
      <c r="C201" s="42"/>
      <c r="D201" s="25"/>
      <c r="E201" s="25"/>
      <c r="F201" s="25"/>
      <c r="G201" s="55"/>
      <c r="H201" s="55"/>
      <c r="I201" s="55"/>
      <c r="J201" s="25"/>
      <c r="K201" s="43"/>
      <c r="L201" s="43"/>
    </row>
    <row r="202" ht="15.75" customHeight="1">
      <c r="A202" s="44"/>
      <c r="B202" s="23"/>
      <c r="C202" s="44"/>
      <c r="D202" s="23"/>
      <c r="E202" s="23"/>
      <c r="F202" s="23"/>
      <c r="G202" s="54"/>
      <c r="H202" s="54"/>
      <c r="I202" s="54"/>
      <c r="J202" s="23"/>
      <c r="K202" s="45"/>
      <c r="L202" s="45"/>
    </row>
    <row r="203" ht="15.75" customHeight="1">
      <c r="A203" s="42"/>
      <c r="B203" s="25"/>
      <c r="C203" s="42"/>
      <c r="D203" s="25"/>
      <c r="E203" s="25"/>
      <c r="F203" s="25"/>
      <c r="G203" s="55"/>
      <c r="H203" s="55"/>
      <c r="I203" s="55"/>
      <c r="J203" s="25"/>
      <c r="K203" s="43"/>
      <c r="L203" s="43"/>
    </row>
    <row r="204" ht="15.75" customHeight="1">
      <c r="A204" s="44"/>
      <c r="B204" s="23"/>
      <c r="C204" s="44"/>
      <c r="D204" s="23"/>
      <c r="E204" s="23"/>
      <c r="F204" s="23"/>
      <c r="G204" s="54"/>
      <c r="H204" s="54"/>
      <c r="I204" s="54"/>
      <c r="J204" s="23"/>
      <c r="K204" s="45"/>
      <c r="L204" s="45"/>
    </row>
    <row r="205" ht="15.75" customHeight="1">
      <c r="A205" s="42"/>
      <c r="B205" s="25"/>
      <c r="C205" s="42"/>
      <c r="D205" s="25"/>
      <c r="E205" s="25"/>
      <c r="F205" s="25"/>
      <c r="G205" s="55"/>
      <c r="H205" s="55"/>
      <c r="I205" s="55"/>
      <c r="J205" s="25"/>
      <c r="K205" s="43"/>
      <c r="L205" s="43"/>
    </row>
    <row r="206" ht="15.75" customHeight="1">
      <c r="A206" s="44"/>
      <c r="B206" s="23"/>
      <c r="C206" s="44"/>
      <c r="D206" s="23"/>
      <c r="E206" s="23"/>
      <c r="F206" s="23"/>
      <c r="G206" s="54"/>
      <c r="H206" s="54"/>
      <c r="I206" s="54"/>
      <c r="J206" s="23"/>
      <c r="K206" s="45"/>
      <c r="L206" s="45"/>
    </row>
    <row r="207" ht="15.75" customHeight="1">
      <c r="A207" s="42"/>
      <c r="B207" s="25"/>
      <c r="C207" s="42"/>
      <c r="D207" s="25"/>
      <c r="E207" s="25"/>
      <c r="F207" s="25"/>
      <c r="G207" s="55"/>
      <c r="H207" s="55"/>
      <c r="I207" s="55"/>
      <c r="J207" s="25"/>
      <c r="K207" s="43"/>
      <c r="L207" s="43"/>
    </row>
    <row r="208" ht="15.75" customHeight="1">
      <c r="A208" s="44"/>
      <c r="B208" s="23"/>
      <c r="C208" s="44"/>
      <c r="D208" s="23"/>
      <c r="E208" s="23"/>
      <c r="F208" s="23"/>
      <c r="G208" s="54"/>
      <c r="H208" s="54"/>
      <c r="I208" s="54"/>
      <c r="J208" s="23"/>
      <c r="K208" s="45"/>
      <c r="L208" s="45"/>
    </row>
    <row r="209" ht="15.75" customHeight="1">
      <c r="A209" s="42"/>
      <c r="B209" s="25"/>
      <c r="C209" s="42"/>
      <c r="D209" s="25"/>
      <c r="E209" s="25"/>
      <c r="F209" s="25"/>
      <c r="G209" s="55"/>
      <c r="H209" s="55"/>
      <c r="I209" s="55"/>
      <c r="J209" s="25"/>
      <c r="K209" s="43"/>
      <c r="L209" s="43"/>
    </row>
    <row r="210" ht="15.75" customHeight="1">
      <c r="A210" s="44"/>
      <c r="B210" s="23"/>
      <c r="C210" s="44"/>
      <c r="D210" s="23"/>
      <c r="E210" s="23"/>
      <c r="F210" s="23"/>
      <c r="G210" s="54"/>
      <c r="H210" s="54"/>
      <c r="I210" s="54"/>
      <c r="J210" s="23"/>
      <c r="K210" s="45"/>
      <c r="L210" s="45"/>
    </row>
    <row r="211" ht="15.75" customHeight="1">
      <c r="A211" s="42"/>
      <c r="B211" s="25"/>
      <c r="C211" s="42"/>
      <c r="D211" s="25"/>
      <c r="E211" s="25"/>
      <c r="F211" s="25"/>
      <c r="G211" s="55"/>
      <c r="H211" s="55"/>
      <c r="I211" s="55"/>
      <c r="J211" s="25"/>
      <c r="K211" s="43"/>
      <c r="L211" s="43"/>
    </row>
    <row r="212" ht="15.75" customHeight="1">
      <c r="A212" s="44"/>
      <c r="B212" s="23"/>
      <c r="C212" s="44"/>
      <c r="D212" s="23"/>
      <c r="E212" s="23"/>
      <c r="F212" s="23"/>
      <c r="G212" s="54"/>
      <c r="H212" s="54"/>
      <c r="I212" s="54"/>
      <c r="J212" s="23"/>
      <c r="K212" s="45"/>
      <c r="L212" s="45"/>
    </row>
    <row r="213" ht="15.75" customHeight="1">
      <c r="A213" s="42"/>
      <c r="B213" s="25"/>
      <c r="C213" s="42"/>
      <c r="D213" s="25"/>
      <c r="E213" s="25"/>
      <c r="F213" s="25"/>
      <c r="G213" s="55"/>
      <c r="H213" s="55"/>
      <c r="I213" s="55"/>
      <c r="J213" s="25"/>
      <c r="K213" s="43"/>
      <c r="L213" s="43"/>
    </row>
    <row r="214" ht="15.75" customHeight="1">
      <c r="A214" s="44"/>
      <c r="B214" s="23"/>
      <c r="C214" s="44"/>
      <c r="D214" s="23"/>
      <c r="E214" s="23"/>
      <c r="F214" s="23"/>
      <c r="G214" s="54"/>
      <c r="H214" s="54"/>
      <c r="I214" s="54"/>
      <c r="J214" s="23"/>
      <c r="K214" s="45"/>
      <c r="L214" s="45"/>
    </row>
    <row r="215" ht="15.75" customHeight="1">
      <c r="A215" s="42"/>
      <c r="B215" s="25"/>
      <c r="C215" s="42"/>
      <c r="D215" s="25"/>
      <c r="E215" s="25"/>
      <c r="F215" s="25"/>
      <c r="G215" s="55"/>
      <c r="H215" s="55"/>
      <c r="I215" s="55"/>
      <c r="J215" s="25"/>
      <c r="K215" s="43"/>
      <c r="L215" s="43"/>
    </row>
    <row r="216" ht="15.75" customHeight="1">
      <c r="A216" s="44"/>
      <c r="B216" s="23"/>
      <c r="C216" s="44"/>
      <c r="D216" s="23"/>
      <c r="E216" s="23"/>
      <c r="F216" s="23"/>
      <c r="G216" s="54"/>
      <c r="H216" s="54"/>
      <c r="I216" s="54"/>
      <c r="J216" s="23"/>
      <c r="K216" s="45"/>
      <c r="L216" s="45"/>
    </row>
    <row r="217" ht="15.75" customHeight="1">
      <c r="A217" s="42"/>
      <c r="B217" s="25"/>
      <c r="C217" s="42"/>
      <c r="D217" s="25"/>
      <c r="E217" s="25"/>
      <c r="F217" s="25"/>
      <c r="G217" s="55"/>
      <c r="H217" s="55"/>
      <c r="I217" s="55"/>
      <c r="J217" s="25"/>
      <c r="K217" s="43"/>
      <c r="L217" s="43"/>
    </row>
    <row r="218" ht="15.75" customHeight="1">
      <c r="A218" s="44"/>
      <c r="B218" s="23"/>
      <c r="C218" s="44"/>
      <c r="D218" s="23"/>
      <c r="E218" s="23"/>
      <c r="F218" s="23"/>
      <c r="G218" s="54"/>
      <c r="H218" s="54"/>
      <c r="I218" s="54"/>
      <c r="J218" s="23"/>
      <c r="K218" s="45"/>
      <c r="L218" s="45"/>
    </row>
    <row r="219" ht="15.75" customHeight="1">
      <c r="A219" s="42"/>
      <c r="B219" s="25"/>
      <c r="C219" s="42"/>
      <c r="D219" s="25"/>
      <c r="E219" s="25"/>
      <c r="F219" s="25"/>
      <c r="G219" s="55"/>
      <c r="H219" s="55"/>
      <c r="I219" s="55"/>
      <c r="J219" s="25"/>
      <c r="K219" s="43"/>
      <c r="L219" s="43"/>
    </row>
    <row r="220" ht="15.75" customHeight="1">
      <c r="A220" s="44"/>
      <c r="B220" s="23"/>
      <c r="C220" s="44"/>
      <c r="D220" s="23"/>
      <c r="E220" s="23"/>
      <c r="F220" s="23"/>
      <c r="G220" s="54"/>
      <c r="H220" s="54"/>
      <c r="I220" s="54"/>
      <c r="J220" s="23"/>
      <c r="K220" s="45"/>
      <c r="L220" s="45"/>
    </row>
    <row r="221" ht="15.75" customHeight="1">
      <c r="A221" s="46"/>
      <c r="C221" s="46"/>
      <c r="E221" s="47"/>
    </row>
    <row r="222" ht="15.75" customHeight="1">
      <c r="A222" s="46"/>
      <c r="C222" s="46"/>
      <c r="E222" s="47"/>
    </row>
    <row r="223" ht="15.75" customHeight="1">
      <c r="A223" s="46"/>
      <c r="C223" s="46"/>
      <c r="E223" s="47"/>
    </row>
    <row r="224" ht="15.75" customHeight="1">
      <c r="A224" s="46"/>
      <c r="C224" s="46"/>
      <c r="E224" s="47"/>
    </row>
    <row r="225" ht="15.75" customHeight="1">
      <c r="A225" s="46"/>
      <c r="C225" s="46"/>
      <c r="E225" s="47"/>
    </row>
    <row r="226" ht="15.75" customHeight="1">
      <c r="A226" s="46"/>
      <c r="C226" s="46"/>
      <c r="E226" s="47"/>
    </row>
    <row r="227" ht="15.75" customHeight="1">
      <c r="A227" s="46"/>
      <c r="C227" s="46"/>
      <c r="E227" s="47"/>
    </row>
    <row r="228" ht="15.75" customHeight="1">
      <c r="A228" s="46"/>
      <c r="C228" s="46"/>
      <c r="E228" s="47"/>
    </row>
    <row r="229" ht="15.75" customHeight="1">
      <c r="A229" s="46"/>
      <c r="C229" s="46"/>
      <c r="E229" s="47"/>
    </row>
    <row r="230" ht="15.75" customHeight="1">
      <c r="A230" s="46"/>
      <c r="C230" s="46"/>
      <c r="E230" s="47"/>
    </row>
    <row r="231" ht="15.75" customHeight="1">
      <c r="A231" s="46"/>
      <c r="C231" s="46"/>
      <c r="E231" s="47"/>
    </row>
    <row r="232" ht="15.75" customHeight="1">
      <c r="A232" s="46"/>
      <c r="C232" s="46"/>
      <c r="E232" s="47"/>
    </row>
    <row r="233" ht="15.75" customHeight="1">
      <c r="A233" s="46"/>
      <c r="C233" s="46"/>
      <c r="E233" s="47"/>
    </row>
    <row r="234" ht="15.75" customHeight="1">
      <c r="A234" s="46"/>
      <c r="C234" s="46"/>
      <c r="E234" s="47"/>
    </row>
    <row r="235" ht="15.75" customHeight="1">
      <c r="A235" s="46"/>
      <c r="C235" s="46"/>
      <c r="E235" s="47"/>
    </row>
    <row r="236" ht="15.75" customHeight="1">
      <c r="A236" s="46"/>
      <c r="C236" s="46"/>
      <c r="E236" s="47"/>
    </row>
    <row r="237" ht="15.75" customHeight="1">
      <c r="A237" s="46"/>
      <c r="C237" s="46"/>
      <c r="E237" s="47"/>
    </row>
    <row r="238" ht="15.75" customHeight="1">
      <c r="A238" s="46"/>
      <c r="C238" s="46"/>
      <c r="E238" s="47"/>
    </row>
    <row r="239" ht="15.75" customHeight="1">
      <c r="A239" s="46"/>
      <c r="C239" s="46"/>
      <c r="E239" s="47"/>
    </row>
    <row r="240" ht="15.75" customHeight="1">
      <c r="A240" s="46"/>
      <c r="C240" s="46"/>
      <c r="E240" s="47"/>
    </row>
    <row r="241" ht="15.75" customHeight="1">
      <c r="A241" s="46"/>
      <c r="C241" s="46"/>
      <c r="E241" s="47"/>
    </row>
    <row r="242" ht="15.75" customHeight="1">
      <c r="A242" s="46"/>
      <c r="C242" s="46"/>
      <c r="E242" s="47"/>
    </row>
    <row r="243" ht="15.75" customHeight="1">
      <c r="A243" s="46"/>
      <c r="C243" s="46"/>
      <c r="E243" s="47"/>
    </row>
    <row r="244" ht="15.75" customHeight="1">
      <c r="A244" s="46"/>
      <c r="C244" s="46"/>
      <c r="E244" s="47"/>
    </row>
    <row r="245" ht="15.75" customHeight="1">
      <c r="A245" s="46"/>
      <c r="C245" s="46"/>
      <c r="E245" s="47"/>
    </row>
    <row r="246" ht="15.75" customHeight="1">
      <c r="A246" s="46"/>
      <c r="C246" s="46"/>
      <c r="E246" s="47"/>
    </row>
    <row r="247" ht="15.75" customHeight="1">
      <c r="A247" s="46"/>
      <c r="C247" s="46"/>
      <c r="E247" s="47"/>
    </row>
    <row r="248" ht="15.75" customHeight="1">
      <c r="A248" s="46"/>
      <c r="C248" s="46"/>
      <c r="E248" s="47"/>
    </row>
    <row r="249" ht="15.75" customHeight="1">
      <c r="A249" s="46"/>
      <c r="C249" s="46"/>
      <c r="E249" s="47"/>
    </row>
    <row r="250" ht="15.75" customHeight="1">
      <c r="A250" s="46"/>
      <c r="C250" s="46"/>
      <c r="E250" s="47"/>
    </row>
    <row r="251" ht="15.75" customHeight="1">
      <c r="A251" s="46"/>
      <c r="C251" s="46"/>
      <c r="E251" s="47"/>
    </row>
    <row r="252" ht="15.75" customHeight="1">
      <c r="A252" s="46"/>
      <c r="C252" s="46"/>
      <c r="E252" s="47"/>
    </row>
    <row r="253" ht="15.75" customHeight="1">
      <c r="A253" s="46"/>
      <c r="C253" s="46"/>
      <c r="E253" s="47"/>
    </row>
    <row r="254" ht="15.75" customHeight="1">
      <c r="A254" s="46"/>
      <c r="C254" s="46"/>
      <c r="E254" s="47"/>
    </row>
    <row r="255" ht="15.75" customHeight="1">
      <c r="A255" s="46"/>
      <c r="C255" s="46"/>
      <c r="E255" s="47"/>
    </row>
    <row r="256" ht="15.75" customHeight="1">
      <c r="A256" s="46"/>
      <c r="C256" s="46"/>
      <c r="E256" s="47"/>
    </row>
    <row r="257" ht="15.75" customHeight="1">
      <c r="A257" s="46"/>
      <c r="C257" s="46"/>
      <c r="E257" s="47"/>
    </row>
    <row r="258" ht="15.75" customHeight="1">
      <c r="A258" s="46"/>
      <c r="C258" s="46"/>
      <c r="E258" s="47"/>
    </row>
    <row r="259" ht="15.75" customHeight="1">
      <c r="A259" s="46"/>
      <c r="C259" s="46"/>
      <c r="E259" s="47"/>
    </row>
    <row r="260" ht="15.75" customHeight="1">
      <c r="A260" s="46"/>
      <c r="C260" s="46"/>
      <c r="E260" s="47"/>
    </row>
    <row r="261" ht="15.75" customHeight="1">
      <c r="A261" s="46"/>
      <c r="C261" s="46"/>
      <c r="E261" s="47"/>
    </row>
    <row r="262" ht="15.75" customHeight="1">
      <c r="A262" s="46"/>
      <c r="C262" s="46"/>
      <c r="E262" s="47"/>
    </row>
    <row r="263" ht="15.75" customHeight="1">
      <c r="A263" s="46"/>
      <c r="C263" s="46"/>
      <c r="E263" s="47"/>
    </row>
    <row r="264" ht="15.75" customHeight="1">
      <c r="A264" s="46"/>
      <c r="C264" s="46"/>
      <c r="E264" s="47"/>
    </row>
    <row r="265" ht="15.75" customHeight="1">
      <c r="A265" s="46"/>
      <c r="C265" s="46"/>
      <c r="E265" s="47"/>
    </row>
    <row r="266" ht="15.75" customHeight="1">
      <c r="A266" s="46"/>
      <c r="C266" s="46"/>
      <c r="E266" s="47"/>
    </row>
    <row r="267" ht="15.75" customHeight="1">
      <c r="A267" s="46"/>
      <c r="C267" s="46"/>
      <c r="E267" s="47"/>
    </row>
    <row r="268" ht="15.75" customHeight="1">
      <c r="A268" s="46"/>
      <c r="C268" s="46"/>
      <c r="E268" s="47"/>
    </row>
    <row r="269" ht="15.75" customHeight="1">
      <c r="A269" s="46"/>
      <c r="C269" s="46"/>
      <c r="E269" s="47"/>
    </row>
    <row r="270" ht="15.75" customHeight="1">
      <c r="A270" s="46"/>
      <c r="C270" s="46"/>
      <c r="E270" s="47"/>
    </row>
    <row r="271" ht="15.75" customHeight="1">
      <c r="A271" s="46"/>
      <c r="C271" s="46"/>
      <c r="E271" s="47"/>
    </row>
    <row r="272" ht="15.75" customHeight="1">
      <c r="A272" s="46"/>
      <c r="C272" s="46"/>
      <c r="E272" s="47"/>
    </row>
    <row r="273" ht="15.75" customHeight="1">
      <c r="A273" s="46"/>
      <c r="C273" s="46"/>
      <c r="E273" s="47"/>
    </row>
    <row r="274" ht="15.75" customHeight="1">
      <c r="A274" s="46"/>
      <c r="C274" s="46"/>
      <c r="E274" s="47"/>
    </row>
    <row r="275" ht="15.75" customHeight="1">
      <c r="A275" s="46"/>
      <c r="C275" s="46"/>
      <c r="E275" s="47"/>
    </row>
    <row r="276" ht="15.75" customHeight="1">
      <c r="A276" s="46"/>
      <c r="C276" s="46"/>
      <c r="E276" s="47"/>
    </row>
    <row r="277" ht="15.75" customHeight="1">
      <c r="A277" s="46"/>
      <c r="C277" s="46"/>
      <c r="E277" s="47"/>
    </row>
    <row r="278" ht="15.75" customHeight="1">
      <c r="A278" s="46"/>
      <c r="C278" s="46"/>
      <c r="E278" s="47"/>
    </row>
    <row r="279" ht="15.75" customHeight="1">
      <c r="A279" s="46"/>
      <c r="C279" s="46"/>
      <c r="E279" s="47"/>
    </row>
    <row r="280" ht="15.75" customHeight="1">
      <c r="A280" s="46"/>
      <c r="C280" s="46"/>
      <c r="E280" s="47"/>
    </row>
    <row r="281" ht="15.75" customHeight="1">
      <c r="A281" s="46"/>
      <c r="C281" s="46"/>
      <c r="E281" s="47"/>
    </row>
    <row r="282" ht="15.75" customHeight="1">
      <c r="A282" s="46"/>
      <c r="C282" s="46"/>
      <c r="E282" s="47"/>
    </row>
    <row r="283" ht="15.75" customHeight="1">
      <c r="A283" s="46"/>
      <c r="C283" s="46"/>
      <c r="E283" s="47"/>
    </row>
    <row r="284" ht="15.75" customHeight="1">
      <c r="A284" s="46"/>
      <c r="C284" s="46"/>
      <c r="E284" s="47"/>
    </row>
    <row r="285" ht="15.75" customHeight="1">
      <c r="A285" s="46"/>
      <c r="C285" s="46"/>
      <c r="E285" s="47"/>
    </row>
    <row r="286" ht="15.75" customHeight="1">
      <c r="A286" s="46"/>
      <c r="C286" s="46"/>
      <c r="E286" s="47"/>
    </row>
    <row r="287" ht="15.75" customHeight="1">
      <c r="A287" s="46"/>
      <c r="C287" s="46"/>
      <c r="E287" s="47"/>
    </row>
    <row r="288" ht="15.75" customHeight="1">
      <c r="A288" s="46"/>
      <c r="C288" s="46"/>
      <c r="E288" s="47"/>
    </row>
    <row r="289" ht="15.75" customHeight="1">
      <c r="A289" s="46"/>
      <c r="C289" s="46"/>
      <c r="E289" s="47"/>
    </row>
    <row r="290" ht="15.75" customHeight="1">
      <c r="A290" s="46"/>
      <c r="C290" s="46"/>
      <c r="E290" s="47"/>
    </row>
    <row r="291" ht="15.75" customHeight="1">
      <c r="A291" s="46"/>
      <c r="C291" s="46"/>
      <c r="E291" s="47"/>
    </row>
    <row r="292" ht="15.75" customHeight="1">
      <c r="A292" s="46"/>
      <c r="C292" s="46"/>
      <c r="E292" s="47"/>
    </row>
    <row r="293" ht="15.75" customHeight="1">
      <c r="A293" s="46"/>
      <c r="C293" s="46"/>
      <c r="E293" s="47"/>
    </row>
    <row r="294" ht="15.75" customHeight="1">
      <c r="A294" s="46"/>
      <c r="C294" s="46"/>
      <c r="E294" s="47"/>
    </row>
    <row r="295" ht="15.75" customHeight="1">
      <c r="A295" s="46"/>
      <c r="C295" s="46"/>
      <c r="E295" s="47"/>
    </row>
    <row r="296" ht="15.75" customHeight="1">
      <c r="A296" s="46"/>
      <c r="C296" s="46"/>
      <c r="E296" s="47"/>
    </row>
    <row r="297" ht="15.75" customHeight="1">
      <c r="A297" s="46"/>
      <c r="C297" s="46"/>
      <c r="E297" s="47"/>
    </row>
    <row r="298" ht="15.75" customHeight="1">
      <c r="A298" s="46"/>
      <c r="C298" s="46"/>
      <c r="E298" s="47"/>
    </row>
    <row r="299" ht="15.75" customHeight="1">
      <c r="A299" s="46"/>
      <c r="C299" s="46"/>
      <c r="E299" s="47"/>
    </row>
    <row r="300" ht="15.75" customHeight="1">
      <c r="A300" s="46"/>
      <c r="C300" s="46"/>
      <c r="E300" s="47"/>
    </row>
    <row r="301" ht="15.75" customHeight="1">
      <c r="A301" s="46"/>
      <c r="C301" s="46"/>
      <c r="E301" s="47"/>
    </row>
    <row r="302" ht="15.75" customHeight="1">
      <c r="A302" s="46"/>
      <c r="C302" s="46"/>
      <c r="E302" s="47"/>
    </row>
    <row r="303" ht="15.75" customHeight="1">
      <c r="A303" s="46"/>
      <c r="C303" s="46"/>
      <c r="E303" s="47"/>
    </row>
    <row r="304" ht="15.75" customHeight="1">
      <c r="A304" s="46"/>
      <c r="C304" s="46"/>
      <c r="E304" s="47"/>
    </row>
    <row r="305" ht="15.75" customHeight="1">
      <c r="A305" s="46"/>
      <c r="C305" s="46"/>
      <c r="E305" s="47"/>
    </row>
    <row r="306" ht="15.75" customHeight="1">
      <c r="A306" s="46"/>
      <c r="C306" s="46"/>
      <c r="E306" s="47"/>
    </row>
    <row r="307" ht="15.75" customHeight="1">
      <c r="A307" s="46"/>
      <c r="C307" s="46"/>
      <c r="E307" s="47"/>
    </row>
    <row r="308" ht="15.75" customHeight="1">
      <c r="A308" s="46"/>
      <c r="C308" s="46"/>
      <c r="E308" s="47"/>
    </row>
    <row r="309" ht="15.75" customHeight="1">
      <c r="A309" s="46"/>
      <c r="C309" s="46"/>
      <c r="E309" s="47"/>
    </row>
    <row r="310" ht="15.75" customHeight="1">
      <c r="A310" s="46"/>
      <c r="C310" s="46"/>
      <c r="E310" s="47"/>
    </row>
    <row r="311" ht="15.75" customHeight="1">
      <c r="A311" s="46"/>
      <c r="C311" s="46"/>
      <c r="E311" s="47"/>
    </row>
    <row r="312" ht="15.75" customHeight="1">
      <c r="A312" s="46"/>
      <c r="C312" s="46"/>
      <c r="E312" s="47"/>
    </row>
    <row r="313" ht="15.75" customHeight="1">
      <c r="A313" s="46"/>
      <c r="C313" s="46"/>
      <c r="E313" s="47"/>
    </row>
    <row r="314" ht="15.75" customHeight="1">
      <c r="A314" s="46"/>
      <c r="C314" s="46"/>
      <c r="E314" s="47"/>
    </row>
    <row r="315" ht="15.75" customHeight="1">
      <c r="A315" s="46"/>
      <c r="C315" s="46"/>
      <c r="E315" s="47"/>
    </row>
    <row r="316" ht="15.75" customHeight="1">
      <c r="A316" s="46"/>
      <c r="C316" s="46"/>
      <c r="E316" s="47"/>
    </row>
    <row r="317" ht="15.75" customHeight="1">
      <c r="A317" s="46"/>
      <c r="C317" s="46"/>
      <c r="E317" s="47"/>
    </row>
    <row r="318" ht="15.75" customHeight="1">
      <c r="A318" s="46"/>
      <c r="C318" s="46"/>
      <c r="E318" s="47"/>
    </row>
    <row r="319" ht="15.75" customHeight="1">
      <c r="A319" s="46"/>
      <c r="C319" s="46"/>
      <c r="E319" s="47"/>
    </row>
    <row r="320" ht="15.75" customHeight="1">
      <c r="A320" s="46"/>
      <c r="C320" s="46"/>
      <c r="E320" s="47"/>
    </row>
    <row r="321" ht="15.75" customHeight="1">
      <c r="A321" s="46"/>
      <c r="C321" s="46"/>
      <c r="E321" s="47"/>
    </row>
    <row r="322" ht="15.75" customHeight="1">
      <c r="A322" s="46"/>
      <c r="C322" s="46"/>
      <c r="E322" s="47"/>
    </row>
    <row r="323" ht="15.75" customHeight="1">
      <c r="A323" s="46"/>
      <c r="C323" s="46"/>
      <c r="E323" s="47"/>
    </row>
    <row r="324" ht="15.75" customHeight="1">
      <c r="A324" s="46"/>
      <c r="C324" s="46"/>
      <c r="E324" s="47"/>
    </row>
    <row r="325" ht="15.75" customHeight="1">
      <c r="A325" s="46"/>
      <c r="C325" s="46"/>
      <c r="E325" s="47"/>
    </row>
    <row r="326" ht="15.75" customHeight="1">
      <c r="A326" s="46"/>
      <c r="C326" s="46"/>
      <c r="E326" s="47"/>
    </row>
    <row r="327" ht="15.75" customHeight="1">
      <c r="A327" s="46"/>
      <c r="C327" s="46"/>
      <c r="E327" s="47"/>
    </row>
    <row r="328" ht="15.75" customHeight="1">
      <c r="A328" s="46"/>
      <c r="C328" s="46"/>
      <c r="E328" s="47"/>
    </row>
    <row r="329" ht="15.75" customHeight="1">
      <c r="A329" s="46"/>
      <c r="C329" s="46"/>
      <c r="E329" s="47"/>
    </row>
    <row r="330" ht="15.75" customHeight="1">
      <c r="A330" s="46"/>
      <c r="C330" s="46"/>
      <c r="E330" s="47"/>
    </row>
    <row r="331" ht="15.75" customHeight="1">
      <c r="A331" s="46"/>
      <c r="C331" s="46"/>
      <c r="E331" s="47"/>
    </row>
    <row r="332" ht="15.75" customHeight="1">
      <c r="A332" s="46"/>
      <c r="C332" s="46"/>
      <c r="E332" s="47"/>
    </row>
    <row r="333" ht="15.75" customHeight="1">
      <c r="A333" s="46"/>
      <c r="C333" s="46"/>
      <c r="E333" s="47"/>
    </row>
    <row r="334" ht="15.75" customHeight="1">
      <c r="A334" s="46"/>
      <c r="C334" s="46"/>
      <c r="E334" s="47"/>
    </row>
    <row r="335" ht="15.75" customHeight="1">
      <c r="A335" s="46"/>
      <c r="C335" s="46"/>
      <c r="E335" s="47"/>
    </row>
    <row r="336" ht="15.75" customHeight="1">
      <c r="A336" s="46"/>
      <c r="C336" s="46"/>
      <c r="E336" s="47"/>
    </row>
    <row r="337" ht="15.75" customHeight="1">
      <c r="A337" s="46"/>
      <c r="C337" s="46"/>
      <c r="E337" s="47"/>
    </row>
    <row r="338" ht="15.75" customHeight="1">
      <c r="A338" s="46"/>
      <c r="C338" s="46"/>
      <c r="E338" s="47"/>
    </row>
    <row r="339" ht="15.75" customHeight="1">
      <c r="A339" s="46"/>
      <c r="C339" s="46"/>
      <c r="E339" s="47"/>
    </row>
    <row r="340" ht="15.75" customHeight="1">
      <c r="A340" s="46"/>
      <c r="C340" s="46"/>
      <c r="E340" s="47"/>
    </row>
    <row r="341" ht="15.75" customHeight="1">
      <c r="A341" s="46"/>
      <c r="C341" s="46"/>
      <c r="E341" s="47"/>
    </row>
    <row r="342" ht="15.75" customHeight="1">
      <c r="A342" s="46"/>
      <c r="C342" s="46"/>
      <c r="E342" s="47"/>
    </row>
    <row r="343" ht="15.75" customHeight="1">
      <c r="A343" s="46"/>
      <c r="C343" s="46"/>
      <c r="E343" s="47"/>
    </row>
    <row r="344" ht="15.75" customHeight="1">
      <c r="A344" s="46"/>
      <c r="C344" s="46"/>
      <c r="E344" s="47"/>
    </row>
    <row r="345" ht="15.75" customHeight="1">
      <c r="A345" s="46"/>
      <c r="C345" s="46"/>
      <c r="E345" s="47"/>
    </row>
    <row r="346" ht="15.75" customHeight="1">
      <c r="A346" s="46"/>
      <c r="C346" s="46"/>
      <c r="E346" s="47"/>
    </row>
    <row r="347" ht="15.75" customHeight="1">
      <c r="A347" s="46"/>
      <c r="C347" s="46"/>
      <c r="E347" s="47"/>
    </row>
    <row r="348" ht="15.75" customHeight="1">
      <c r="A348" s="46"/>
      <c r="C348" s="46"/>
      <c r="E348" s="47"/>
    </row>
    <row r="349" ht="15.75" customHeight="1">
      <c r="A349" s="46"/>
      <c r="C349" s="46"/>
      <c r="E349" s="47"/>
    </row>
    <row r="350" ht="15.75" customHeight="1">
      <c r="A350" s="46"/>
      <c r="C350" s="46"/>
      <c r="E350" s="47"/>
    </row>
    <row r="351" ht="15.75" customHeight="1">
      <c r="A351" s="46"/>
      <c r="C351" s="46"/>
      <c r="E351" s="47"/>
    </row>
    <row r="352" ht="15.75" customHeight="1">
      <c r="A352" s="46"/>
      <c r="C352" s="46"/>
      <c r="E352" s="47"/>
    </row>
    <row r="353" ht="15.75" customHeight="1">
      <c r="A353" s="46"/>
      <c r="C353" s="46"/>
      <c r="E353" s="47"/>
    </row>
    <row r="354" ht="15.75" customHeight="1">
      <c r="A354" s="46"/>
      <c r="C354" s="46"/>
      <c r="E354" s="47"/>
    </row>
    <row r="355" ht="15.75" customHeight="1">
      <c r="A355" s="46"/>
      <c r="C355" s="46"/>
      <c r="E355" s="47"/>
    </row>
    <row r="356" ht="15.75" customHeight="1">
      <c r="A356" s="46"/>
      <c r="C356" s="46"/>
      <c r="E356" s="47"/>
    </row>
    <row r="357" ht="15.75" customHeight="1">
      <c r="A357" s="46"/>
      <c r="C357" s="46"/>
      <c r="E357" s="47"/>
    </row>
    <row r="358" ht="15.75" customHeight="1">
      <c r="A358" s="46"/>
      <c r="C358" s="46"/>
      <c r="E358" s="47"/>
    </row>
    <row r="359" ht="15.75" customHeight="1">
      <c r="A359" s="46"/>
      <c r="C359" s="46"/>
      <c r="E359" s="47"/>
    </row>
    <row r="360" ht="15.75" customHeight="1">
      <c r="A360" s="46"/>
      <c r="C360" s="46"/>
      <c r="E360" s="47"/>
    </row>
    <row r="361" ht="15.75" customHeight="1">
      <c r="A361" s="46"/>
      <c r="C361" s="46"/>
      <c r="E361" s="47"/>
    </row>
    <row r="362" ht="15.75" customHeight="1">
      <c r="A362" s="46"/>
      <c r="C362" s="46"/>
      <c r="E362" s="47"/>
    </row>
    <row r="363" ht="15.75" customHeight="1">
      <c r="A363" s="46"/>
      <c r="C363" s="46"/>
      <c r="E363" s="47"/>
    </row>
    <row r="364" ht="15.75" customHeight="1">
      <c r="A364" s="46"/>
      <c r="C364" s="46"/>
      <c r="E364" s="47"/>
    </row>
    <row r="365" ht="15.75" customHeight="1">
      <c r="A365" s="46"/>
      <c r="C365" s="46"/>
      <c r="E365" s="47"/>
    </row>
    <row r="366" ht="15.75" customHeight="1">
      <c r="A366" s="46"/>
      <c r="C366" s="46"/>
      <c r="E366" s="47"/>
    </row>
    <row r="367" ht="15.75" customHeight="1">
      <c r="A367" s="46"/>
      <c r="C367" s="46"/>
      <c r="E367" s="47"/>
    </row>
    <row r="368" ht="15.75" customHeight="1">
      <c r="A368" s="46"/>
      <c r="C368" s="46"/>
      <c r="E368" s="47"/>
    </row>
    <row r="369" ht="15.75" customHeight="1">
      <c r="A369" s="46"/>
      <c r="C369" s="46"/>
      <c r="E369" s="47"/>
    </row>
    <row r="370" ht="15.75" customHeight="1">
      <c r="A370" s="46"/>
      <c r="C370" s="46"/>
      <c r="E370" s="47"/>
    </row>
    <row r="371" ht="15.75" customHeight="1">
      <c r="A371" s="46"/>
      <c r="C371" s="46"/>
      <c r="E371" s="47"/>
    </row>
    <row r="372" ht="15.75" customHeight="1">
      <c r="A372" s="46"/>
      <c r="C372" s="46"/>
      <c r="E372" s="47"/>
    </row>
    <row r="373" ht="15.75" customHeight="1">
      <c r="A373" s="46"/>
      <c r="C373" s="46"/>
      <c r="E373" s="47"/>
    </row>
    <row r="374" ht="15.75" customHeight="1">
      <c r="A374" s="46"/>
      <c r="C374" s="46"/>
      <c r="E374" s="47"/>
    </row>
    <row r="375" ht="15.75" customHeight="1">
      <c r="A375" s="46"/>
      <c r="C375" s="46"/>
      <c r="E375" s="47"/>
    </row>
    <row r="376" ht="15.75" customHeight="1">
      <c r="A376" s="46"/>
      <c r="C376" s="46"/>
      <c r="E376" s="47"/>
    </row>
    <row r="377" ht="15.75" customHeight="1">
      <c r="A377" s="46"/>
      <c r="C377" s="46"/>
      <c r="E377" s="47"/>
    </row>
    <row r="378" ht="15.75" customHeight="1">
      <c r="A378" s="46"/>
      <c r="C378" s="46"/>
      <c r="E378" s="47"/>
    </row>
    <row r="379" ht="15.75" customHeight="1">
      <c r="A379" s="46"/>
      <c r="C379" s="46"/>
      <c r="E379" s="47"/>
    </row>
    <row r="380" ht="15.75" customHeight="1">
      <c r="A380" s="46"/>
      <c r="C380" s="46"/>
      <c r="E380" s="47"/>
    </row>
    <row r="381" ht="15.75" customHeight="1">
      <c r="A381" s="46"/>
      <c r="C381" s="46"/>
      <c r="E381" s="47"/>
    </row>
    <row r="382" ht="15.75" customHeight="1">
      <c r="A382" s="46"/>
      <c r="C382" s="46"/>
      <c r="E382" s="47"/>
    </row>
    <row r="383" ht="15.75" customHeight="1">
      <c r="A383" s="46"/>
      <c r="C383" s="46"/>
      <c r="E383" s="47"/>
    </row>
    <row r="384" ht="15.75" customHeight="1">
      <c r="A384" s="46"/>
      <c r="C384" s="46"/>
      <c r="E384" s="47"/>
    </row>
    <row r="385" ht="15.75" customHeight="1">
      <c r="A385" s="46"/>
      <c r="C385" s="46"/>
      <c r="E385" s="47"/>
    </row>
    <row r="386" ht="15.75" customHeight="1">
      <c r="A386" s="46"/>
      <c r="C386" s="46"/>
      <c r="E386" s="47"/>
    </row>
    <row r="387" ht="15.75" customHeight="1">
      <c r="A387" s="46"/>
      <c r="C387" s="46"/>
      <c r="E387" s="47"/>
    </row>
    <row r="388" ht="15.75" customHeight="1">
      <c r="A388" s="46"/>
      <c r="C388" s="46"/>
      <c r="E388" s="47"/>
    </row>
    <row r="389" ht="15.75" customHeight="1">
      <c r="A389" s="46"/>
      <c r="C389" s="46"/>
      <c r="E389" s="47"/>
    </row>
    <row r="390" ht="15.75" customHeight="1">
      <c r="A390" s="46"/>
      <c r="C390" s="46"/>
      <c r="E390" s="47"/>
    </row>
    <row r="391" ht="15.75" customHeight="1">
      <c r="A391" s="46"/>
      <c r="C391" s="46"/>
      <c r="E391" s="47"/>
    </row>
    <row r="392" ht="15.75" customHeight="1">
      <c r="A392" s="46"/>
      <c r="C392" s="46"/>
      <c r="E392" s="47"/>
    </row>
    <row r="393" ht="15.75" customHeight="1">
      <c r="A393" s="46"/>
      <c r="C393" s="46"/>
      <c r="E393" s="47"/>
    </row>
    <row r="394" ht="15.75" customHeight="1">
      <c r="A394" s="46"/>
      <c r="C394" s="46"/>
      <c r="E394" s="47"/>
    </row>
    <row r="395" ht="15.75" customHeight="1">
      <c r="A395" s="46"/>
      <c r="C395" s="46"/>
      <c r="E395" s="47"/>
    </row>
    <row r="396" ht="15.75" customHeight="1">
      <c r="A396" s="46"/>
      <c r="C396" s="46"/>
      <c r="E396" s="47"/>
    </row>
    <row r="397" ht="15.75" customHeight="1">
      <c r="A397" s="46"/>
      <c r="C397" s="46"/>
      <c r="E397" s="47"/>
    </row>
    <row r="398" ht="15.75" customHeight="1">
      <c r="A398" s="46"/>
      <c r="C398" s="46"/>
      <c r="E398" s="47"/>
    </row>
    <row r="399" ht="15.75" customHeight="1">
      <c r="A399" s="46"/>
      <c r="C399" s="46"/>
      <c r="E399" s="47"/>
    </row>
    <row r="400" ht="15.75" customHeight="1">
      <c r="A400" s="46"/>
      <c r="C400" s="46"/>
      <c r="E400" s="47"/>
    </row>
    <row r="401" ht="15.75" customHeight="1">
      <c r="A401" s="46"/>
      <c r="C401" s="46"/>
      <c r="E401" s="47"/>
    </row>
    <row r="402" ht="15.75" customHeight="1">
      <c r="A402" s="46"/>
      <c r="C402" s="46"/>
      <c r="E402" s="47"/>
    </row>
    <row r="403" ht="15.75" customHeight="1">
      <c r="A403" s="46"/>
      <c r="C403" s="46"/>
      <c r="E403" s="47"/>
    </row>
    <row r="404" ht="15.75" customHeight="1">
      <c r="A404" s="46"/>
      <c r="C404" s="46"/>
      <c r="E404" s="47"/>
    </row>
    <row r="405" ht="15.75" customHeight="1">
      <c r="A405" s="46"/>
      <c r="C405" s="46"/>
      <c r="E405" s="47"/>
    </row>
    <row r="406" ht="15.75" customHeight="1">
      <c r="A406" s="46"/>
      <c r="C406" s="46"/>
      <c r="E406" s="47"/>
    </row>
    <row r="407" ht="15.75" customHeight="1">
      <c r="A407" s="46"/>
      <c r="C407" s="46"/>
      <c r="E407" s="47"/>
    </row>
    <row r="408" ht="15.75" customHeight="1">
      <c r="A408" s="46"/>
      <c r="C408" s="46"/>
      <c r="E408" s="47"/>
    </row>
    <row r="409" ht="15.75" customHeight="1">
      <c r="A409" s="46"/>
      <c r="C409" s="46"/>
      <c r="E409" s="47"/>
    </row>
    <row r="410" ht="15.75" customHeight="1">
      <c r="A410" s="46"/>
      <c r="C410" s="46"/>
      <c r="E410" s="47"/>
    </row>
    <row r="411" ht="15.75" customHeight="1">
      <c r="A411" s="46"/>
      <c r="C411" s="46"/>
      <c r="E411" s="47"/>
    </row>
    <row r="412" ht="15.75" customHeight="1">
      <c r="A412" s="46"/>
      <c r="C412" s="46"/>
      <c r="E412" s="47"/>
    </row>
    <row r="413" ht="15.75" customHeight="1">
      <c r="A413" s="46"/>
      <c r="C413" s="46"/>
      <c r="E413" s="47"/>
    </row>
    <row r="414" ht="15.75" customHeight="1">
      <c r="A414" s="46"/>
      <c r="C414" s="46"/>
      <c r="E414" s="47"/>
    </row>
    <row r="415" ht="15.75" customHeight="1">
      <c r="A415" s="46"/>
      <c r="C415" s="46"/>
      <c r="E415" s="47"/>
    </row>
    <row r="416" ht="15.75" customHeight="1">
      <c r="A416" s="46"/>
      <c r="C416" s="46"/>
      <c r="E416" s="47"/>
    </row>
    <row r="417" ht="15.75" customHeight="1">
      <c r="A417" s="46"/>
      <c r="C417" s="46"/>
      <c r="E417" s="47"/>
    </row>
    <row r="418" ht="15.75" customHeight="1">
      <c r="A418" s="46"/>
      <c r="C418" s="46"/>
      <c r="E418" s="47"/>
    </row>
    <row r="419" ht="15.75" customHeight="1">
      <c r="A419" s="46"/>
      <c r="C419" s="46"/>
      <c r="E419" s="47"/>
    </row>
    <row r="420" ht="15.75" customHeight="1">
      <c r="A420" s="46"/>
      <c r="C420" s="46"/>
      <c r="E420" s="47"/>
    </row>
    <row r="421" ht="15.75" customHeight="1">
      <c r="A421" s="46"/>
      <c r="C421" s="46"/>
      <c r="E421" s="47"/>
    </row>
    <row r="422" ht="15.75" customHeight="1">
      <c r="A422" s="46"/>
      <c r="C422" s="46"/>
      <c r="E422" s="47"/>
    </row>
    <row r="423" ht="15.75" customHeight="1">
      <c r="A423" s="46"/>
      <c r="C423" s="46"/>
      <c r="E423" s="47"/>
    </row>
    <row r="424" ht="15.75" customHeight="1">
      <c r="A424" s="46"/>
      <c r="C424" s="46"/>
      <c r="E424" s="47"/>
    </row>
    <row r="425" ht="15.75" customHeight="1">
      <c r="A425" s="46"/>
      <c r="C425" s="46"/>
      <c r="E425" s="47"/>
    </row>
    <row r="426" ht="15.75" customHeight="1">
      <c r="A426" s="46"/>
      <c r="C426" s="46"/>
      <c r="E426" s="47"/>
    </row>
    <row r="427" ht="15.75" customHeight="1">
      <c r="A427" s="46"/>
      <c r="C427" s="46"/>
      <c r="E427" s="47"/>
    </row>
    <row r="428" ht="15.75" customHeight="1">
      <c r="A428" s="46"/>
      <c r="C428" s="46"/>
      <c r="E428" s="47"/>
    </row>
    <row r="429" ht="15.75" customHeight="1">
      <c r="A429" s="46"/>
      <c r="C429" s="46"/>
      <c r="E429" s="47"/>
    </row>
    <row r="430" ht="15.75" customHeight="1">
      <c r="A430" s="46"/>
      <c r="C430" s="46"/>
      <c r="E430" s="47"/>
    </row>
    <row r="431" ht="15.75" customHeight="1">
      <c r="A431" s="46"/>
      <c r="C431" s="46"/>
      <c r="E431" s="47"/>
    </row>
    <row r="432" ht="15.75" customHeight="1">
      <c r="A432" s="46"/>
      <c r="C432" s="46"/>
      <c r="E432" s="47"/>
    </row>
    <row r="433" ht="15.75" customHeight="1">
      <c r="A433" s="46"/>
      <c r="C433" s="46"/>
      <c r="E433" s="47"/>
    </row>
    <row r="434" ht="15.75" customHeight="1">
      <c r="A434" s="46"/>
      <c r="C434" s="46"/>
      <c r="E434" s="47"/>
    </row>
    <row r="435" ht="15.75" customHeight="1">
      <c r="A435" s="46"/>
      <c r="C435" s="46"/>
      <c r="E435" s="47"/>
    </row>
    <row r="436" ht="15.75" customHeight="1">
      <c r="A436" s="46"/>
      <c r="C436" s="46"/>
      <c r="E436" s="47"/>
    </row>
    <row r="437" ht="15.75" customHeight="1">
      <c r="A437" s="46"/>
      <c r="C437" s="46"/>
      <c r="E437" s="47"/>
    </row>
    <row r="438" ht="15.75" customHeight="1">
      <c r="A438" s="46"/>
      <c r="C438" s="46"/>
      <c r="E438" s="47"/>
    </row>
    <row r="439" ht="15.75" customHeight="1">
      <c r="A439" s="46"/>
      <c r="C439" s="46"/>
      <c r="E439" s="47"/>
    </row>
    <row r="440" ht="15.75" customHeight="1">
      <c r="A440" s="46"/>
      <c r="C440" s="46"/>
      <c r="E440" s="47"/>
    </row>
    <row r="441" ht="15.75" customHeight="1">
      <c r="A441" s="46"/>
      <c r="C441" s="46"/>
      <c r="E441" s="47"/>
    </row>
    <row r="442" ht="15.75" customHeight="1">
      <c r="A442" s="46"/>
      <c r="C442" s="46"/>
      <c r="E442" s="47"/>
    </row>
    <row r="443" ht="15.75" customHeight="1">
      <c r="A443" s="46"/>
      <c r="C443" s="46"/>
      <c r="E443" s="47"/>
    </row>
    <row r="444" ht="15.75" customHeight="1">
      <c r="A444" s="46"/>
      <c r="C444" s="46"/>
      <c r="E444" s="47"/>
    </row>
    <row r="445" ht="15.75" customHeight="1">
      <c r="A445" s="46"/>
      <c r="C445" s="46"/>
      <c r="E445" s="47"/>
    </row>
    <row r="446" ht="15.75" customHeight="1">
      <c r="A446" s="46"/>
      <c r="C446" s="46"/>
      <c r="E446" s="47"/>
    </row>
    <row r="447" ht="15.75" customHeight="1">
      <c r="A447" s="46"/>
      <c r="C447" s="46"/>
      <c r="E447" s="47"/>
    </row>
    <row r="448" ht="15.75" customHeight="1">
      <c r="A448" s="46"/>
      <c r="C448" s="46"/>
      <c r="E448" s="47"/>
    </row>
    <row r="449" ht="15.75" customHeight="1">
      <c r="A449" s="46"/>
      <c r="C449" s="46"/>
      <c r="E449" s="47"/>
    </row>
    <row r="450" ht="15.75" customHeight="1">
      <c r="A450" s="46"/>
      <c r="C450" s="46"/>
      <c r="E450" s="47"/>
    </row>
    <row r="451" ht="15.75" customHeight="1">
      <c r="A451" s="46"/>
      <c r="C451" s="46"/>
      <c r="E451" s="47"/>
    </row>
    <row r="452" ht="15.75" customHeight="1">
      <c r="A452" s="46"/>
      <c r="C452" s="46"/>
      <c r="E452" s="47"/>
    </row>
    <row r="453" ht="15.75" customHeight="1">
      <c r="A453" s="46"/>
      <c r="C453" s="46"/>
      <c r="E453" s="47"/>
    </row>
    <row r="454" ht="15.75" customHeight="1">
      <c r="A454" s="46"/>
      <c r="C454" s="46"/>
      <c r="E454" s="47"/>
    </row>
    <row r="455" ht="15.75" customHeight="1">
      <c r="A455" s="46"/>
      <c r="C455" s="46"/>
      <c r="E455" s="47"/>
    </row>
    <row r="456" ht="15.75" customHeight="1">
      <c r="A456" s="46"/>
      <c r="C456" s="46"/>
      <c r="E456" s="47"/>
    </row>
    <row r="457" ht="15.75" customHeight="1">
      <c r="A457" s="46"/>
      <c r="C457" s="46"/>
      <c r="E457" s="47"/>
    </row>
    <row r="458" ht="15.75" customHeight="1">
      <c r="A458" s="46"/>
      <c r="C458" s="46"/>
      <c r="E458" s="47"/>
    </row>
    <row r="459" ht="15.75" customHeight="1">
      <c r="A459" s="46"/>
      <c r="C459" s="46"/>
      <c r="E459" s="47"/>
    </row>
    <row r="460" ht="15.75" customHeight="1">
      <c r="A460" s="46"/>
      <c r="C460" s="46"/>
      <c r="E460" s="47"/>
    </row>
    <row r="461" ht="15.75" customHeight="1">
      <c r="A461" s="46"/>
      <c r="C461" s="46"/>
      <c r="E461" s="47"/>
    </row>
    <row r="462" ht="15.75" customHeight="1">
      <c r="A462" s="46"/>
      <c r="C462" s="46"/>
      <c r="E462" s="47"/>
    </row>
    <row r="463" ht="15.75" customHeight="1">
      <c r="A463" s="46"/>
      <c r="C463" s="46"/>
      <c r="E463" s="47"/>
    </row>
    <row r="464" ht="15.75" customHeight="1">
      <c r="A464" s="46"/>
      <c r="C464" s="46"/>
      <c r="E464" s="47"/>
    </row>
    <row r="465" ht="15.75" customHeight="1">
      <c r="A465" s="46"/>
      <c r="C465" s="46"/>
      <c r="E465" s="47"/>
    </row>
    <row r="466" ht="15.75" customHeight="1">
      <c r="A466" s="46"/>
      <c r="C466" s="46"/>
      <c r="E466" s="47"/>
    </row>
    <row r="467" ht="15.75" customHeight="1">
      <c r="A467" s="46"/>
      <c r="C467" s="46"/>
      <c r="E467" s="47"/>
    </row>
    <row r="468" ht="15.75" customHeight="1">
      <c r="A468" s="46"/>
      <c r="C468" s="46"/>
      <c r="E468" s="47"/>
    </row>
    <row r="469" ht="15.75" customHeight="1">
      <c r="A469" s="46"/>
      <c r="C469" s="46"/>
      <c r="E469" s="47"/>
    </row>
    <row r="470" ht="15.75" customHeight="1">
      <c r="A470" s="46"/>
      <c r="C470" s="46"/>
      <c r="E470" s="47"/>
    </row>
    <row r="471" ht="15.75" customHeight="1">
      <c r="A471" s="46"/>
      <c r="C471" s="46"/>
      <c r="E471" s="47"/>
    </row>
    <row r="472" ht="15.75" customHeight="1">
      <c r="A472" s="46"/>
      <c r="C472" s="46"/>
      <c r="E472" s="47"/>
    </row>
    <row r="473" ht="15.75" customHeight="1">
      <c r="A473" s="46"/>
      <c r="C473" s="46"/>
      <c r="E473" s="47"/>
    </row>
    <row r="474" ht="15.75" customHeight="1">
      <c r="A474" s="46"/>
      <c r="C474" s="46"/>
      <c r="E474" s="47"/>
    </row>
    <row r="475" ht="15.75" customHeight="1">
      <c r="A475" s="46"/>
      <c r="C475" s="46"/>
      <c r="E475" s="47"/>
    </row>
    <row r="476" ht="15.75" customHeight="1">
      <c r="A476" s="46"/>
      <c r="C476" s="46"/>
      <c r="E476" s="47"/>
    </row>
    <row r="477" ht="15.75" customHeight="1">
      <c r="A477" s="46"/>
      <c r="C477" s="46"/>
      <c r="E477" s="47"/>
    </row>
    <row r="478" ht="15.75" customHeight="1">
      <c r="A478" s="46"/>
      <c r="C478" s="46"/>
      <c r="E478" s="47"/>
    </row>
    <row r="479" ht="15.75" customHeight="1">
      <c r="A479" s="46"/>
      <c r="C479" s="46"/>
      <c r="E479" s="47"/>
    </row>
    <row r="480" ht="15.75" customHeight="1">
      <c r="A480" s="46"/>
      <c r="C480" s="46"/>
      <c r="E480" s="47"/>
    </row>
    <row r="481" ht="15.75" customHeight="1">
      <c r="A481" s="46"/>
      <c r="C481" s="46"/>
      <c r="E481" s="47"/>
    </row>
    <row r="482" ht="15.75" customHeight="1">
      <c r="A482" s="46"/>
      <c r="C482" s="46"/>
      <c r="E482" s="47"/>
    </row>
    <row r="483" ht="15.75" customHeight="1">
      <c r="A483" s="46"/>
      <c r="C483" s="46"/>
      <c r="E483" s="47"/>
    </row>
    <row r="484" ht="15.75" customHeight="1">
      <c r="A484" s="46"/>
      <c r="C484" s="46"/>
      <c r="E484" s="47"/>
    </row>
    <row r="485" ht="15.75" customHeight="1">
      <c r="A485" s="46"/>
      <c r="C485" s="46"/>
      <c r="E485" s="47"/>
    </row>
    <row r="486" ht="15.75" customHeight="1">
      <c r="A486" s="46"/>
      <c r="C486" s="46"/>
      <c r="E486" s="47"/>
    </row>
    <row r="487" ht="15.75" customHeight="1">
      <c r="A487" s="46"/>
      <c r="C487" s="46"/>
      <c r="E487" s="47"/>
    </row>
    <row r="488" ht="15.75" customHeight="1">
      <c r="A488" s="46"/>
      <c r="C488" s="46"/>
      <c r="E488" s="47"/>
    </row>
    <row r="489" ht="15.75" customHeight="1">
      <c r="A489" s="46"/>
      <c r="C489" s="46"/>
      <c r="E489" s="47"/>
    </row>
    <row r="490" ht="15.75" customHeight="1">
      <c r="A490" s="46"/>
      <c r="C490" s="46"/>
      <c r="E490" s="47"/>
    </row>
    <row r="491" ht="15.75" customHeight="1">
      <c r="A491" s="46"/>
      <c r="C491" s="46"/>
      <c r="E491" s="47"/>
    </row>
    <row r="492" ht="15.75" customHeight="1">
      <c r="A492" s="46"/>
      <c r="C492" s="46"/>
      <c r="E492" s="47"/>
    </row>
    <row r="493" ht="15.75" customHeight="1">
      <c r="A493" s="46"/>
      <c r="C493" s="46"/>
      <c r="E493" s="47"/>
    </row>
    <row r="494" ht="15.75" customHeight="1">
      <c r="A494" s="46"/>
      <c r="C494" s="46"/>
      <c r="E494" s="47"/>
    </row>
    <row r="495" ht="15.75" customHeight="1">
      <c r="A495" s="46"/>
      <c r="C495" s="46"/>
      <c r="E495" s="47"/>
    </row>
    <row r="496" ht="15.75" customHeight="1">
      <c r="A496" s="46"/>
      <c r="C496" s="46"/>
      <c r="E496" s="47"/>
    </row>
    <row r="497" ht="15.75" customHeight="1">
      <c r="A497" s="46"/>
      <c r="C497" s="46"/>
      <c r="E497" s="47"/>
    </row>
    <row r="498" ht="15.75" customHeight="1">
      <c r="A498" s="46"/>
      <c r="C498" s="46"/>
      <c r="E498" s="47"/>
    </row>
    <row r="499" ht="15.75" customHeight="1">
      <c r="A499" s="46"/>
      <c r="C499" s="46"/>
      <c r="E499" s="47"/>
    </row>
    <row r="500" ht="15.75" customHeight="1">
      <c r="A500" s="46"/>
      <c r="C500" s="46"/>
      <c r="E500" s="47"/>
    </row>
    <row r="501" ht="15.75" customHeight="1">
      <c r="A501" s="46"/>
      <c r="C501" s="46"/>
      <c r="E501" s="47"/>
    </row>
    <row r="502" ht="15.75" customHeight="1">
      <c r="A502" s="46"/>
      <c r="C502" s="46"/>
    </row>
    <row r="503" ht="15.75" customHeight="1">
      <c r="A503" s="46"/>
      <c r="C503" s="46"/>
    </row>
    <row r="504" ht="15.75" customHeight="1">
      <c r="A504" s="46"/>
      <c r="C504" s="46"/>
    </row>
    <row r="505" ht="15.75" customHeight="1">
      <c r="A505" s="46"/>
      <c r="C505" s="46"/>
    </row>
    <row r="506" ht="15.75" customHeight="1">
      <c r="A506" s="46"/>
      <c r="C506" s="46"/>
    </row>
    <row r="507" ht="15.75" customHeight="1">
      <c r="A507" s="46"/>
      <c r="C507" s="46"/>
    </row>
    <row r="508" ht="15.75" customHeight="1">
      <c r="A508" s="46"/>
      <c r="C508" s="46"/>
    </row>
    <row r="509" ht="15.75" customHeight="1">
      <c r="A509" s="46"/>
      <c r="C509" s="46"/>
    </row>
    <row r="510" ht="15.75" customHeight="1">
      <c r="A510" s="46"/>
      <c r="C510" s="46"/>
    </row>
    <row r="511" ht="15.75" customHeight="1">
      <c r="A511" s="46"/>
      <c r="C511" s="46"/>
    </row>
    <row r="512" ht="15.75" customHeight="1">
      <c r="A512" s="46"/>
      <c r="C512" s="46"/>
    </row>
    <row r="513" ht="15.75" customHeight="1">
      <c r="A513" s="46"/>
      <c r="C513" s="46"/>
    </row>
    <row r="514" ht="15.75" customHeight="1">
      <c r="A514" s="46"/>
      <c r="C514" s="46"/>
    </row>
    <row r="515" ht="15.75" customHeight="1">
      <c r="A515" s="46"/>
      <c r="C515" s="46"/>
    </row>
    <row r="516" ht="15.75" customHeight="1">
      <c r="A516" s="46"/>
      <c r="C516" s="46"/>
    </row>
    <row r="517" ht="15.75" customHeight="1">
      <c r="A517" s="46"/>
      <c r="C517" s="46"/>
    </row>
    <row r="518" ht="15.75" customHeight="1">
      <c r="A518" s="46"/>
      <c r="C518" s="46"/>
    </row>
    <row r="519" ht="15.75" customHeight="1">
      <c r="A519" s="46"/>
      <c r="C519" s="46"/>
    </row>
    <row r="520" ht="15.75" customHeight="1">
      <c r="A520" s="46"/>
      <c r="C520" s="46"/>
    </row>
    <row r="521" ht="15.75" customHeight="1">
      <c r="A521" s="46"/>
      <c r="C521" s="46"/>
    </row>
    <row r="522" ht="15.75" customHeight="1">
      <c r="A522" s="46"/>
      <c r="C522" s="46"/>
    </row>
    <row r="523" ht="15.75" customHeight="1">
      <c r="A523" s="46"/>
      <c r="C523" s="46"/>
    </row>
    <row r="524" ht="15.75" customHeight="1">
      <c r="A524" s="46"/>
      <c r="C524" s="46"/>
    </row>
    <row r="525" ht="15.75" customHeight="1">
      <c r="A525" s="46"/>
      <c r="C525" s="46"/>
    </row>
    <row r="526" ht="15.75" customHeight="1">
      <c r="A526" s="46"/>
      <c r="C526" s="46"/>
    </row>
    <row r="527" ht="15.75" customHeight="1">
      <c r="A527" s="46"/>
      <c r="C527" s="46"/>
    </row>
    <row r="528" ht="15.75" customHeight="1">
      <c r="A528" s="46"/>
      <c r="C528" s="46"/>
    </row>
    <row r="529" ht="15.75" customHeight="1">
      <c r="A529" s="46"/>
      <c r="C529" s="46"/>
    </row>
    <row r="530" ht="15.75" customHeight="1">
      <c r="A530" s="46"/>
      <c r="C530" s="46"/>
    </row>
    <row r="531" ht="15.75" customHeight="1">
      <c r="A531" s="46"/>
      <c r="C531" s="46"/>
    </row>
    <row r="532" ht="15.75" customHeight="1">
      <c r="A532" s="46"/>
      <c r="C532" s="46"/>
    </row>
    <row r="533" ht="15.75" customHeight="1">
      <c r="A533" s="46"/>
      <c r="C533" s="46"/>
    </row>
    <row r="534" ht="15.75" customHeight="1">
      <c r="A534" s="46"/>
      <c r="C534" s="46"/>
    </row>
    <row r="535" ht="15.75" customHeight="1">
      <c r="A535" s="46"/>
      <c r="C535" s="46"/>
    </row>
    <row r="536" ht="15.75" customHeight="1">
      <c r="A536" s="46"/>
      <c r="C536" s="46"/>
    </row>
    <row r="537" ht="15.75" customHeight="1">
      <c r="A537" s="46"/>
      <c r="C537" s="46"/>
    </row>
    <row r="538" ht="15.75" customHeight="1">
      <c r="A538" s="46"/>
      <c r="C538" s="46"/>
    </row>
    <row r="539" ht="15.75" customHeight="1">
      <c r="A539" s="46"/>
      <c r="C539" s="46"/>
    </row>
    <row r="540" ht="15.75" customHeight="1">
      <c r="A540" s="46"/>
      <c r="C540" s="46"/>
    </row>
    <row r="541" ht="15.75" customHeight="1">
      <c r="A541" s="46"/>
      <c r="C541" s="46"/>
    </row>
    <row r="542" ht="15.75" customHeight="1">
      <c r="A542" s="46"/>
      <c r="C542" s="46"/>
    </row>
    <row r="543" ht="15.75" customHeight="1">
      <c r="A543" s="46"/>
      <c r="C543" s="46"/>
    </row>
    <row r="544" ht="15.75" customHeight="1">
      <c r="A544" s="46"/>
      <c r="C544" s="46"/>
    </row>
    <row r="545" ht="15.75" customHeight="1">
      <c r="A545" s="46"/>
      <c r="C545" s="46"/>
    </row>
    <row r="546" ht="15.75" customHeight="1">
      <c r="A546" s="46"/>
      <c r="C546" s="46"/>
    </row>
    <row r="547" ht="15.75" customHeight="1">
      <c r="A547" s="46"/>
      <c r="C547" s="46"/>
    </row>
    <row r="548" ht="15.75" customHeight="1">
      <c r="A548" s="46"/>
      <c r="C548" s="46"/>
    </row>
    <row r="549" ht="15.75" customHeight="1">
      <c r="A549" s="46"/>
      <c r="C549" s="46"/>
    </row>
    <row r="550" ht="15.75" customHeight="1">
      <c r="A550" s="46"/>
      <c r="C550" s="46"/>
    </row>
    <row r="551" ht="15.75" customHeight="1">
      <c r="A551" s="46"/>
      <c r="C551" s="46"/>
    </row>
    <row r="552" ht="15.75" customHeight="1">
      <c r="A552" s="46"/>
      <c r="C552" s="46"/>
    </row>
    <row r="553" ht="15.75" customHeight="1">
      <c r="A553" s="46"/>
      <c r="C553" s="46"/>
    </row>
    <row r="554" ht="15.75" customHeight="1">
      <c r="A554" s="46"/>
      <c r="C554" s="46"/>
    </row>
    <row r="555" ht="15.75" customHeight="1">
      <c r="A555" s="46"/>
      <c r="C555" s="46"/>
    </row>
    <row r="556" ht="15.75" customHeight="1">
      <c r="A556" s="46"/>
      <c r="C556" s="46"/>
    </row>
    <row r="557" ht="15.75" customHeight="1">
      <c r="A557" s="46"/>
      <c r="C557" s="46"/>
    </row>
    <row r="558" ht="15.75" customHeight="1">
      <c r="A558" s="46"/>
      <c r="C558" s="46"/>
    </row>
    <row r="559" ht="15.75" customHeight="1">
      <c r="A559" s="46"/>
      <c r="C559" s="46"/>
    </row>
    <row r="560" ht="15.75" customHeight="1">
      <c r="A560" s="46"/>
      <c r="C560" s="46"/>
    </row>
    <row r="561" ht="15.75" customHeight="1">
      <c r="A561" s="46"/>
      <c r="C561" s="46"/>
    </row>
    <row r="562" ht="15.75" customHeight="1">
      <c r="A562" s="46"/>
      <c r="C562" s="46"/>
    </row>
    <row r="563" ht="15.75" customHeight="1">
      <c r="A563" s="46"/>
      <c r="C563" s="46"/>
    </row>
    <row r="564" ht="15.75" customHeight="1">
      <c r="A564" s="46"/>
      <c r="C564" s="46"/>
    </row>
    <row r="565" ht="15.75" customHeight="1">
      <c r="A565" s="46"/>
      <c r="C565" s="46"/>
    </row>
    <row r="566" ht="15.75" customHeight="1">
      <c r="A566" s="46"/>
      <c r="C566" s="46"/>
    </row>
    <row r="567" ht="15.75" customHeight="1">
      <c r="A567" s="46"/>
      <c r="C567" s="46"/>
    </row>
    <row r="568" ht="15.75" customHeight="1">
      <c r="A568" s="46"/>
      <c r="C568" s="46"/>
    </row>
    <row r="569" ht="15.75" customHeight="1">
      <c r="A569" s="46"/>
      <c r="C569" s="46"/>
    </row>
    <row r="570" ht="15.75" customHeight="1">
      <c r="A570" s="46"/>
      <c r="C570" s="46"/>
    </row>
    <row r="571" ht="15.75" customHeight="1">
      <c r="A571" s="46"/>
      <c r="C571" s="46"/>
    </row>
    <row r="572" ht="15.75" customHeight="1">
      <c r="A572" s="46"/>
      <c r="C572" s="46"/>
    </row>
    <row r="573" ht="15.75" customHeight="1">
      <c r="A573" s="46"/>
      <c r="C573" s="46"/>
    </row>
    <row r="574" ht="15.75" customHeight="1">
      <c r="A574" s="46"/>
      <c r="C574" s="46"/>
    </row>
    <row r="575" ht="15.75" customHeight="1">
      <c r="A575" s="46"/>
      <c r="C575" s="46"/>
    </row>
    <row r="576" ht="15.75" customHeight="1">
      <c r="A576" s="46"/>
      <c r="C576" s="46"/>
    </row>
    <row r="577" ht="15.75" customHeight="1">
      <c r="A577" s="46"/>
      <c r="C577" s="46"/>
    </row>
    <row r="578" ht="15.75" customHeight="1">
      <c r="A578" s="46"/>
      <c r="C578" s="46"/>
    </row>
    <row r="579" ht="15.75" customHeight="1">
      <c r="A579" s="46"/>
      <c r="C579" s="46"/>
    </row>
    <row r="580" ht="15.75" customHeight="1">
      <c r="A580" s="46"/>
      <c r="C580" s="46"/>
    </row>
    <row r="581" ht="15.75" customHeight="1">
      <c r="A581" s="46"/>
      <c r="C581" s="46"/>
    </row>
    <row r="582" ht="15.75" customHeight="1">
      <c r="A582" s="46"/>
      <c r="C582" s="46"/>
    </row>
    <row r="583" ht="15.75" customHeight="1">
      <c r="A583" s="46"/>
      <c r="C583" s="46"/>
    </row>
    <row r="584" ht="15.75" customHeight="1">
      <c r="A584" s="46"/>
      <c r="C584" s="46"/>
    </row>
    <row r="585" ht="15.75" customHeight="1">
      <c r="A585" s="46"/>
      <c r="C585" s="46"/>
    </row>
    <row r="586" ht="15.75" customHeight="1">
      <c r="A586" s="46"/>
      <c r="C586" s="46"/>
    </row>
    <row r="587" ht="15.75" customHeight="1">
      <c r="A587" s="46"/>
      <c r="C587" s="46"/>
    </row>
    <row r="588" ht="15.75" customHeight="1">
      <c r="A588" s="46"/>
      <c r="C588" s="46"/>
    </row>
    <row r="589" ht="15.75" customHeight="1">
      <c r="A589" s="46"/>
      <c r="C589" s="46"/>
    </row>
    <row r="590" ht="15.75" customHeight="1">
      <c r="A590" s="46"/>
      <c r="C590" s="46"/>
    </row>
    <row r="591" ht="15.75" customHeight="1">
      <c r="A591" s="46"/>
      <c r="C591" s="46"/>
    </row>
    <row r="592" ht="15.75" customHeight="1">
      <c r="A592" s="46"/>
      <c r="C592" s="46"/>
    </row>
    <row r="593" ht="15.75" customHeight="1">
      <c r="A593" s="46"/>
      <c r="C593" s="46"/>
    </row>
    <row r="594" ht="15.75" customHeight="1">
      <c r="A594" s="46"/>
      <c r="C594" s="46"/>
    </row>
    <row r="595" ht="15.75" customHeight="1">
      <c r="A595" s="46"/>
      <c r="C595" s="46"/>
    </row>
    <row r="596" ht="15.75" customHeight="1">
      <c r="A596" s="46"/>
      <c r="C596" s="46"/>
    </row>
    <row r="597" ht="15.75" customHeight="1">
      <c r="A597" s="46"/>
      <c r="C597" s="46"/>
    </row>
    <row r="598" ht="15.75" customHeight="1">
      <c r="A598" s="46"/>
      <c r="C598" s="46"/>
    </row>
    <row r="599" ht="15.75" customHeight="1">
      <c r="A599" s="46"/>
      <c r="C599" s="46"/>
    </row>
    <row r="600" ht="15.75" customHeight="1">
      <c r="A600" s="46"/>
      <c r="C600" s="46"/>
    </row>
    <row r="601" ht="15.75" customHeight="1">
      <c r="A601" s="46"/>
      <c r="C601" s="46"/>
    </row>
    <row r="602" ht="15.75" customHeight="1">
      <c r="A602" s="46"/>
      <c r="C602" s="46"/>
    </row>
    <row r="603" ht="15.75" customHeight="1">
      <c r="A603" s="46"/>
      <c r="C603" s="46"/>
    </row>
    <row r="604" ht="15.75" customHeight="1">
      <c r="A604" s="46"/>
      <c r="C604" s="46"/>
    </row>
    <row r="605" ht="15.75" customHeight="1">
      <c r="A605" s="46"/>
      <c r="C605" s="46"/>
    </row>
    <row r="606" ht="15.75" customHeight="1">
      <c r="A606" s="46"/>
      <c r="C606" s="46"/>
    </row>
    <row r="607" ht="15.75" customHeight="1">
      <c r="A607" s="46"/>
      <c r="C607" s="46"/>
    </row>
    <row r="608" ht="15.75" customHeight="1">
      <c r="A608" s="46"/>
      <c r="C608" s="46"/>
    </row>
    <row r="609" ht="15.75" customHeight="1">
      <c r="A609" s="46"/>
      <c r="C609" s="46"/>
    </row>
    <row r="610" ht="15.75" customHeight="1">
      <c r="A610" s="46"/>
      <c r="C610" s="46"/>
    </row>
    <row r="611" ht="15.75" customHeight="1">
      <c r="A611" s="46"/>
      <c r="C611" s="46"/>
    </row>
    <row r="612" ht="15.75" customHeight="1">
      <c r="A612" s="46"/>
      <c r="C612" s="46"/>
    </row>
    <row r="613" ht="15.75" customHeight="1">
      <c r="A613" s="46"/>
      <c r="C613" s="46"/>
    </row>
    <row r="614" ht="15.75" customHeight="1">
      <c r="A614" s="46"/>
      <c r="C614" s="46"/>
    </row>
    <row r="615" ht="15.75" customHeight="1">
      <c r="A615" s="46"/>
      <c r="C615" s="46"/>
    </row>
    <row r="616" ht="15.75" customHeight="1">
      <c r="A616" s="46"/>
      <c r="C616" s="46"/>
    </row>
    <row r="617" ht="15.75" customHeight="1">
      <c r="A617" s="46"/>
      <c r="C617" s="46"/>
    </row>
    <row r="618" ht="15.75" customHeight="1">
      <c r="A618" s="46"/>
      <c r="C618" s="46"/>
    </row>
    <row r="619" ht="15.75" customHeight="1">
      <c r="A619" s="46"/>
      <c r="C619" s="46"/>
    </row>
    <row r="620" ht="15.75" customHeight="1">
      <c r="A620" s="46"/>
      <c r="C620" s="46"/>
    </row>
    <row r="621" ht="15.75" customHeight="1">
      <c r="A621" s="46"/>
      <c r="C621" s="46"/>
    </row>
    <row r="622" ht="15.75" customHeight="1">
      <c r="A622" s="46"/>
      <c r="C622" s="46"/>
    </row>
    <row r="623" ht="15.75" customHeight="1">
      <c r="A623" s="46"/>
      <c r="C623" s="46"/>
    </row>
    <row r="624" ht="15.75" customHeight="1">
      <c r="A624" s="46"/>
      <c r="C624" s="46"/>
    </row>
    <row r="625" ht="15.75" customHeight="1">
      <c r="A625" s="46"/>
      <c r="C625" s="46"/>
    </row>
    <row r="626" ht="15.75" customHeight="1">
      <c r="A626" s="46"/>
      <c r="C626" s="46"/>
    </row>
    <row r="627" ht="15.75" customHeight="1">
      <c r="A627" s="46"/>
      <c r="C627" s="46"/>
    </row>
    <row r="628" ht="15.75" customHeight="1">
      <c r="A628" s="46"/>
      <c r="C628" s="46"/>
    </row>
    <row r="629" ht="15.75" customHeight="1">
      <c r="A629" s="46"/>
      <c r="C629" s="46"/>
    </row>
    <row r="630" ht="15.75" customHeight="1">
      <c r="A630" s="46"/>
      <c r="C630" s="46"/>
    </row>
    <row r="631" ht="15.75" customHeight="1">
      <c r="A631" s="46"/>
      <c r="C631" s="46"/>
    </row>
    <row r="632" ht="15.75" customHeight="1">
      <c r="A632" s="46"/>
      <c r="C632" s="46"/>
    </row>
    <row r="633" ht="15.75" customHeight="1">
      <c r="A633" s="46"/>
      <c r="C633" s="46"/>
    </row>
    <row r="634" ht="15.75" customHeight="1">
      <c r="A634" s="46"/>
      <c r="C634" s="46"/>
    </row>
    <row r="635" ht="15.75" customHeight="1">
      <c r="A635" s="46"/>
      <c r="C635" s="46"/>
    </row>
    <row r="636" ht="15.75" customHeight="1">
      <c r="A636" s="46"/>
      <c r="C636" s="46"/>
    </row>
    <row r="637" ht="15.75" customHeight="1">
      <c r="A637" s="46"/>
      <c r="C637" s="46"/>
    </row>
    <row r="638" ht="15.75" customHeight="1">
      <c r="A638" s="46"/>
      <c r="C638" s="46"/>
    </row>
    <row r="639" ht="15.75" customHeight="1">
      <c r="A639" s="46"/>
      <c r="C639" s="46"/>
    </row>
    <row r="640" ht="15.75" customHeight="1">
      <c r="A640" s="46"/>
      <c r="C640" s="46"/>
    </row>
    <row r="641" ht="15.75" customHeight="1">
      <c r="A641" s="46"/>
      <c r="C641" s="46"/>
    </row>
    <row r="642" ht="15.75" customHeight="1">
      <c r="A642" s="46"/>
      <c r="C642" s="46"/>
    </row>
    <row r="643" ht="15.75" customHeight="1">
      <c r="A643" s="46"/>
      <c r="C643" s="46"/>
    </row>
    <row r="644" ht="15.75" customHeight="1">
      <c r="A644" s="46"/>
      <c r="C644" s="46"/>
    </row>
    <row r="645" ht="15.75" customHeight="1">
      <c r="A645" s="46"/>
      <c r="C645" s="46"/>
    </row>
    <row r="646" ht="15.75" customHeight="1">
      <c r="A646" s="46"/>
      <c r="C646" s="46"/>
    </row>
    <row r="647" ht="15.75" customHeight="1">
      <c r="A647" s="46"/>
      <c r="C647" s="46"/>
    </row>
    <row r="648" ht="15.75" customHeight="1">
      <c r="A648" s="46"/>
      <c r="C648" s="46"/>
    </row>
    <row r="649" ht="15.75" customHeight="1">
      <c r="A649" s="46"/>
      <c r="C649" s="46"/>
    </row>
    <row r="650" ht="15.75" customHeight="1">
      <c r="A650" s="46"/>
      <c r="C650" s="46"/>
    </row>
    <row r="651" ht="15.75" customHeight="1">
      <c r="A651" s="46"/>
      <c r="C651" s="46"/>
    </row>
    <row r="652" ht="15.75" customHeight="1">
      <c r="A652" s="46"/>
      <c r="C652" s="46"/>
    </row>
    <row r="653" ht="15.75" customHeight="1">
      <c r="A653" s="46"/>
      <c r="C653" s="46"/>
    </row>
    <row r="654" ht="15.75" customHeight="1">
      <c r="A654" s="46"/>
      <c r="C654" s="46"/>
    </row>
    <row r="655" ht="15.75" customHeight="1">
      <c r="A655" s="46"/>
      <c r="C655" s="46"/>
    </row>
    <row r="656" ht="15.75" customHeight="1">
      <c r="A656" s="46"/>
      <c r="C656" s="46"/>
    </row>
    <row r="657" ht="15.75" customHeight="1">
      <c r="A657" s="46"/>
      <c r="C657" s="46"/>
    </row>
    <row r="658" ht="15.75" customHeight="1">
      <c r="A658" s="46"/>
      <c r="C658" s="46"/>
    </row>
    <row r="659" ht="15.75" customHeight="1">
      <c r="A659" s="46"/>
      <c r="C659" s="46"/>
    </row>
    <row r="660" ht="15.75" customHeight="1">
      <c r="A660" s="46"/>
      <c r="C660" s="46"/>
    </row>
    <row r="661" ht="15.75" customHeight="1">
      <c r="A661" s="46"/>
      <c r="C661" s="46"/>
    </row>
    <row r="662" ht="15.75" customHeight="1">
      <c r="A662" s="46"/>
      <c r="C662" s="46"/>
    </row>
    <row r="663" ht="15.75" customHeight="1">
      <c r="A663" s="46"/>
      <c r="C663" s="46"/>
    </row>
    <row r="664" ht="15.75" customHeight="1">
      <c r="A664" s="46"/>
      <c r="C664" s="46"/>
    </row>
    <row r="665" ht="15.75" customHeight="1">
      <c r="A665" s="46"/>
      <c r="C665" s="46"/>
    </row>
    <row r="666" ht="15.75" customHeight="1">
      <c r="A666" s="46"/>
      <c r="C666" s="46"/>
    </row>
    <row r="667" ht="15.75" customHeight="1">
      <c r="A667" s="46"/>
      <c r="C667" s="46"/>
    </row>
    <row r="668" ht="15.75" customHeight="1">
      <c r="A668" s="46"/>
      <c r="C668" s="46"/>
    </row>
    <row r="669" ht="15.75" customHeight="1">
      <c r="A669" s="46"/>
      <c r="C669" s="46"/>
    </row>
    <row r="670" ht="15.75" customHeight="1">
      <c r="A670" s="46"/>
      <c r="C670" s="46"/>
    </row>
    <row r="671" ht="15.75" customHeight="1">
      <c r="A671" s="46"/>
      <c r="C671" s="46"/>
    </row>
    <row r="672" ht="15.75" customHeight="1">
      <c r="A672" s="46"/>
      <c r="C672" s="46"/>
    </row>
    <row r="673" ht="15.75" customHeight="1">
      <c r="A673" s="46"/>
      <c r="C673" s="46"/>
    </row>
    <row r="674" ht="15.75" customHeight="1">
      <c r="A674" s="46"/>
      <c r="C674" s="46"/>
    </row>
    <row r="675" ht="15.75" customHeight="1">
      <c r="A675" s="46"/>
      <c r="C675" s="46"/>
    </row>
    <row r="676" ht="15.75" customHeight="1">
      <c r="A676" s="46"/>
      <c r="C676" s="46"/>
    </row>
    <row r="677" ht="15.75" customHeight="1">
      <c r="A677" s="46"/>
      <c r="C677" s="46"/>
    </row>
    <row r="678" ht="15.75" customHeight="1">
      <c r="A678" s="46"/>
      <c r="C678" s="46"/>
    </row>
    <row r="679" ht="15.75" customHeight="1">
      <c r="A679" s="46"/>
      <c r="C679" s="46"/>
    </row>
    <row r="680" ht="15.75" customHeight="1">
      <c r="A680" s="46"/>
      <c r="C680" s="46"/>
    </row>
    <row r="681" ht="15.75" customHeight="1">
      <c r="A681" s="46"/>
      <c r="C681" s="46"/>
    </row>
    <row r="682" ht="15.75" customHeight="1">
      <c r="A682" s="46"/>
      <c r="C682" s="46"/>
    </row>
    <row r="683" ht="15.75" customHeight="1">
      <c r="A683" s="46"/>
      <c r="C683" s="46"/>
    </row>
    <row r="684" ht="15.75" customHeight="1">
      <c r="A684" s="46"/>
      <c r="C684" s="46"/>
    </row>
    <row r="685" ht="15.75" customHeight="1">
      <c r="A685" s="46"/>
      <c r="C685" s="46"/>
    </row>
    <row r="686" ht="15.75" customHeight="1">
      <c r="A686" s="46"/>
      <c r="C686" s="46"/>
    </row>
    <row r="687" ht="15.75" customHeight="1">
      <c r="A687" s="46"/>
      <c r="C687" s="46"/>
    </row>
    <row r="688" ht="15.75" customHeight="1">
      <c r="A688" s="46"/>
      <c r="C688" s="46"/>
    </row>
    <row r="689" ht="15.75" customHeight="1">
      <c r="A689" s="46"/>
      <c r="C689" s="46"/>
    </row>
    <row r="690" ht="15.75" customHeight="1">
      <c r="A690" s="46"/>
      <c r="C690" s="46"/>
    </row>
    <row r="691" ht="15.75" customHeight="1">
      <c r="A691" s="46"/>
      <c r="C691" s="46"/>
    </row>
    <row r="692" ht="15.75" customHeight="1">
      <c r="A692" s="46"/>
      <c r="C692" s="46"/>
    </row>
    <row r="693" ht="15.75" customHeight="1">
      <c r="A693" s="46"/>
      <c r="C693" s="46"/>
    </row>
    <row r="694" ht="15.75" customHeight="1">
      <c r="A694" s="46"/>
      <c r="C694" s="46"/>
    </row>
    <row r="695" ht="15.75" customHeight="1">
      <c r="A695" s="46"/>
      <c r="C695" s="46"/>
    </row>
    <row r="696" ht="15.75" customHeight="1">
      <c r="A696" s="46"/>
      <c r="C696" s="46"/>
    </row>
    <row r="697" ht="15.75" customHeight="1">
      <c r="A697" s="46"/>
      <c r="C697" s="46"/>
    </row>
    <row r="698" ht="15.75" customHeight="1">
      <c r="A698" s="46"/>
      <c r="C698" s="46"/>
    </row>
    <row r="699" ht="15.75" customHeight="1">
      <c r="A699" s="46"/>
      <c r="C699" s="46"/>
    </row>
    <row r="700" ht="15.75" customHeight="1">
      <c r="A700" s="46"/>
      <c r="C700" s="46"/>
    </row>
    <row r="701" ht="15.75" customHeight="1">
      <c r="A701" s="46"/>
      <c r="C701" s="46"/>
    </row>
    <row r="702" ht="15.75" customHeight="1">
      <c r="A702" s="46"/>
      <c r="C702" s="46"/>
    </row>
    <row r="703" ht="15.75" customHeight="1">
      <c r="A703" s="46"/>
      <c r="C703" s="46"/>
    </row>
    <row r="704" ht="15.75" customHeight="1">
      <c r="A704" s="46"/>
      <c r="C704" s="46"/>
    </row>
    <row r="705" ht="15.75" customHeight="1">
      <c r="A705" s="46"/>
      <c r="C705" s="46"/>
    </row>
    <row r="706" ht="15.75" customHeight="1">
      <c r="A706" s="46"/>
      <c r="C706" s="46"/>
    </row>
    <row r="707" ht="15.75" customHeight="1">
      <c r="A707" s="46"/>
      <c r="C707" s="46"/>
    </row>
    <row r="708" ht="15.75" customHeight="1">
      <c r="A708" s="46"/>
      <c r="C708" s="46"/>
    </row>
    <row r="709" ht="15.75" customHeight="1">
      <c r="A709" s="46"/>
      <c r="C709" s="46"/>
    </row>
    <row r="710" ht="15.75" customHeight="1">
      <c r="A710" s="46"/>
      <c r="C710" s="46"/>
    </row>
    <row r="711" ht="15.75" customHeight="1">
      <c r="A711" s="46"/>
      <c r="C711" s="46"/>
    </row>
    <row r="712" ht="15.75" customHeight="1">
      <c r="A712" s="46"/>
      <c r="C712" s="46"/>
    </row>
    <row r="713" ht="15.75" customHeight="1">
      <c r="A713" s="46"/>
      <c r="C713" s="46"/>
    </row>
    <row r="714" ht="15.75" customHeight="1">
      <c r="A714" s="46"/>
      <c r="C714" s="46"/>
    </row>
    <row r="715" ht="15.75" customHeight="1">
      <c r="A715" s="46"/>
      <c r="C715" s="46"/>
    </row>
    <row r="716" ht="15.75" customHeight="1">
      <c r="A716" s="46"/>
      <c r="C716" s="46"/>
    </row>
    <row r="717" ht="15.75" customHeight="1">
      <c r="A717" s="46"/>
      <c r="C717" s="46"/>
    </row>
    <row r="718" ht="15.75" customHeight="1">
      <c r="A718" s="46"/>
      <c r="C718" s="46"/>
    </row>
    <row r="719" ht="15.75" customHeight="1">
      <c r="A719" s="46"/>
      <c r="C719" s="46"/>
    </row>
    <row r="720" ht="15.75" customHeight="1">
      <c r="A720" s="46"/>
      <c r="C720" s="46"/>
    </row>
    <row r="721" ht="15.75" customHeight="1">
      <c r="A721" s="46"/>
      <c r="C721" s="46"/>
    </row>
    <row r="722" ht="15.75" customHeight="1">
      <c r="A722" s="46"/>
      <c r="C722" s="46"/>
    </row>
    <row r="723" ht="15.75" customHeight="1">
      <c r="A723" s="46"/>
      <c r="C723" s="46"/>
    </row>
    <row r="724" ht="15.75" customHeight="1">
      <c r="A724" s="46"/>
      <c r="C724" s="46"/>
    </row>
    <row r="725" ht="15.75" customHeight="1">
      <c r="A725" s="46"/>
      <c r="C725" s="46"/>
    </row>
    <row r="726" ht="15.75" customHeight="1">
      <c r="A726" s="46"/>
      <c r="C726" s="46"/>
    </row>
    <row r="727" ht="15.75" customHeight="1">
      <c r="A727" s="46"/>
      <c r="C727" s="46"/>
    </row>
    <row r="728" ht="15.75" customHeight="1">
      <c r="A728" s="46"/>
      <c r="C728" s="46"/>
    </row>
    <row r="729" ht="15.75" customHeight="1">
      <c r="A729" s="46"/>
      <c r="C729" s="46"/>
    </row>
    <row r="730" ht="15.75" customHeight="1">
      <c r="A730" s="46"/>
      <c r="C730" s="46"/>
    </row>
    <row r="731" ht="15.75" customHeight="1">
      <c r="A731" s="46"/>
      <c r="C731" s="46"/>
    </row>
    <row r="732" ht="15.75" customHeight="1">
      <c r="A732" s="46"/>
      <c r="C732" s="46"/>
    </row>
    <row r="733" ht="15.75" customHeight="1">
      <c r="A733" s="46"/>
      <c r="C733" s="46"/>
    </row>
    <row r="734" ht="15.75" customHeight="1">
      <c r="A734" s="46"/>
      <c r="C734" s="46"/>
    </row>
    <row r="735" ht="15.75" customHeight="1">
      <c r="A735" s="46"/>
      <c r="C735" s="46"/>
    </row>
    <row r="736" ht="15.75" customHeight="1">
      <c r="A736" s="46"/>
      <c r="C736" s="46"/>
    </row>
    <row r="737" ht="15.75" customHeight="1">
      <c r="A737" s="46"/>
      <c r="C737" s="46"/>
    </row>
    <row r="738" ht="15.75" customHeight="1">
      <c r="A738" s="46"/>
      <c r="C738" s="46"/>
    </row>
    <row r="739" ht="15.75" customHeight="1">
      <c r="A739" s="46"/>
      <c r="C739" s="46"/>
    </row>
    <row r="740" ht="15.75" customHeight="1">
      <c r="A740" s="46"/>
      <c r="C740" s="46"/>
    </row>
    <row r="741" ht="15.75" customHeight="1">
      <c r="A741" s="46"/>
      <c r="C741" s="46"/>
    </row>
    <row r="742" ht="15.75" customHeight="1">
      <c r="A742" s="46"/>
      <c r="C742" s="46"/>
    </row>
    <row r="743" ht="15.75" customHeight="1">
      <c r="A743" s="46"/>
      <c r="C743" s="46"/>
    </row>
    <row r="744" ht="15.75" customHeight="1">
      <c r="A744" s="46"/>
      <c r="C744" s="46"/>
    </row>
    <row r="745" ht="15.75" customHeight="1">
      <c r="A745" s="46"/>
      <c r="C745" s="46"/>
    </row>
    <row r="746" ht="15.75" customHeight="1">
      <c r="A746" s="46"/>
      <c r="C746" s="46"/>
    </row>
    <row r="747" ht="15.75" customHeight="1">
      <c r="A747" s="46"/>
      <c r="C747" s="46"/>
    </row>
    <row r="748" ht="15.75" customHeight="1">
      <c r="A748" s="46"/>
      <c r="C748" s="46"/>
    </row>
    <row r="749" ht="15.75" customHeight="1">
      <c r="A749" s="46"/>
      <c r="C749" s="46"/>
    </row>
    <row r="750" ht="15.75" customHeight="1">
      <c r="A750" s="46"/>
      <c r="C750" s="46"/>
    </row>
    <row r="751" ht="15.75" customHeight="1">
      <c r="A751" s="46"/>
      <c r="C751" s="46"/>
    </row>
    <row r="752" ht="15.75" customHeight="1">
      <c r="A752" s="46"/>
      <c r="C752" s="46"/>
    </row>
    <row r="753" ht="15.75" customHeight="1">
      <c r="A753" s="46"/>
      <c r="C753" s="46"/>
    </row>
    <row r="754" ht="15.75" customHeight="1">
      <c r="A754" s="46"/>
      <c r="C754" s="46"/>
    </row>
    <row r="755" ht="15.75" customHeight="1">
      <c r="A755" s="46"/>
      <c r="C755" s="46"/>
    </row>
    <row r="756" ht="15.75" customHeight="1">
      <c r="A756" s="46"/>
      <c r="C756" s="46"/>
    </row>
    <row r="757" ht="15.75" customHeight="1">
      <c r="A757" s="46"/>
      <c r="C757" s="46"/>
    </row>
    <row r="758" ht="15.75" customHeight="1">
      <c r="A758" s="46"/>
      <c r="C758" s="46"/>
    </row>
    <row r="759" ht="15.75" customHeight="1">
      <c r="A759" s="46"/>
      <c r="C759" s="46"/>
    </row>
    <row r="760" ht="15.75" customHeight="1">
      <c r="A760" s="46"/>
      <c r="C760" s="46"/>
    </row>
    <row r="761" ht="15.75" customHeight="1">
      <c r="A761" s="46"/>
      <c r="C761" s="46"/>
    </row>
    <row r="762" ht="15.75" customHeight="1">
      <c r="A762" s="46"/>
      <c r="C762" s="46"/>
    </row>
    <row r="763" ht="15.75" customHeight="1">
      <c r="A763" s="46"/>
      <c r="C763" s="46"/>
    </row>
    <row r="764" ht="15.75" customHeight="1">
      <c r="A764" s="46"/>
      <c r="C764" s="46"/>
    </row>
    <row r="765" ht="15.75" customHeight="1">
      <c r="A765" s="46"/>
      <c r="C765" s="46"/>
    </row>
    <row r="766" ht="15.75" customHeight="1">
      <c r="A766" s="46"/>
      <c r="C766" s="46"/>
    </row>
    <row r="767" ht="15.75" customHeight="1">
      <c r="A767" s="46"/>
      <c r="C767" s="46"/>
    </row>
    <row r="768" ht="15.75" customHeight="1">
      <c r="A768" s="46"/>
      <c r="C768" s="46"/>
    </row>
    <row r="769" ht="15.75" customHeight="1">
      <c r="A769" s="46"/>
      <c r="C769" s="46"/>
    </row>
    <row r="770" ht="15.75" customHeight="1">
      <c r="A770" s="46"/>
      <c r="C770" s="46"/>
    </row>
    <row r="771" ht="15.75" customHeight="1">
      <c r="A771" s="46"/>
      <c r="C771" s="46"/>
    </row>
    <row r="772" ht="15.75" customHeight="1">
      <c r="A772" s="46"/>
      <c r="C772" s="46"/>
    </row>
    <row r="773" ht="15.75" customHeight="1">
      <c r="A773" s="46"/>
      <c r="C773" s="46"/>
    </row>
    <row r="774" ht="15.75" customHeight="1">
      <c r="A774" s="46"/>
      <c r="C774" s="46"/>
    </row>
    <row r="775" ht="15.75" customHeight="1">
      <c r="A775" s="46"/>
      <c r="C775" s="46"/>
    </row>
    <row r="776" ht="15.75" customHeight="1">
      <c r="A776" s="46"/>
      <c r="C776" s="46"/>
    </row>
    <row r="777" ht="15.75" customHeight="1">
      <c r="A777" s="46"/>
      <c r="C777" s="46"/>
    </row>
    <row r="778" ht="15.75" customHeight="1">
      <c r="A778" s="46"/>
      <c r="C778" s="46"/>
    </row>
    <row r="779" ht="15.75" customHeight="1">
      <c r="A779" s="46"/>
      <c r="C779" s="46"/>
    </row>
    <row r="780" ht="15.75" customHeight="1">
      <c r="A780" s="46"/>
      <c r="C780" s="46"/>
    </row>
    <row r="781" ht="15.75" customHeight="1">
      <c r="A781" s="46"/>
      <c r="C781" s="46"/>
    </row>
    <row r="782" ht="15.75" customHeight="1">
      <c r="A782" s="46"/>
      <c r="C782" s="46"/>
    </row>
    <row r="783" ht="15.75" customHeight="1">
      <c r="A783" s="46"/>
      <c r="C783" s="46"/>
    </row>
    <row r="784" ht="15.75" customHeight="1">
      <c r="A784" s="46"/>
      <c r="C784" s="46"/>
    </row>
    <row r="785" ht="15.75" customHeight="1">
      <c r="A785" s="46"/>
      <c r="C785" s="46"/>
    </row>
    <row r="786" ht="15.75" customHeight="1">
      <c r="A786" s="46"/>
      <c r="C786" s="46"/>
    </row>
    <row r="787" ht="15.75" customHeight="1">
      <c r="A787" s="46"/>
      <c r="C787" s="46"/>
    </row>
    <row r="788" ht="15.75" customHeight="1">
      <c r="A788" s="46"/>
      <c r="C788" s="46"/>
    </row>
    <row r="789" ht="15.75" customHeight="1">
      <c r="A789" s="46"/>
      <c r="C789" s="46"/>
    </row>
    <row r="790" ht="15.75" customHeight="1">
      <c r="A790" s="46"/>
      <c r="C790" s="46"/>
    </row>
    <row r="791" ht="15.75" customHeight="1">
      <c r="A791" s="46"/>
      <c r="C791" s="46"/>
    </row>
    <row r="792" ht="15.75" customHeight="1">
      <c r="A792" s="46"/>
      <c r="C792" s="46"/>
    </row>
    <row r="793" ht="15.75" customHeight="1">
      <c r="A793" s="46"/>
      <c r="C793" s="46"/>
    </row>
    <row r="794" ht="15.75" customHeight="1">
      <c r="A794" s="46"/>
      <c r="C794" s="46"/>
    </row>
    <row r="795" ht="15.75" customHeight="1">
      <c r="A795" s="46"/>
      <c r="C795" s="46"/>
    </row>
    <row r="796" ht="15.75" customHeight="1">
      <c r="A796" s="46"/>
      <c r="C796" s="46"/>
    </row>
    <row r="797" ht="15.75" customHeight="1">
      <c r="A797" s="46"/>
      <c r="C797" s="46"/>
    </row>
    <row r="798" ht="15.75" customHeight="1">
      <c r="A798" s="46"/>
      <c r="C798" s="46"/>
    </row>
    <row r="799" ht="15.75" customHeight="1">
      <c r="A799" s="46"/>
      <c r="C799" s="46"/>
    </row>
    <row r="800" ht="15.75" customHeight="1">
      <c r="A800" s="46"/>
      <c r="C800" s="46"/>
    </row>
    <row r="801" ht="15.75" customHeight="1">
      <c r="A801" s="46"/>
      <c r="C801" s="46"/>
    </row>
    <row r="802" ht="15.75" customHeight="1">
      <c r="A802" s="46"/>
      <c r="C802" s="46"/>
    </row>
    <row r="803" ht="15.75" customHeight="1">
      <c r="A803" s="46"/>
      <c r="C803" s="46"/>
    </row>
    <row r="804" ht="15.75" customHeight="1">
      <c r="A804" s="46"/>
      <c r="C804" s="46"/>
    </row>
    <row r="805" ht="15.75" customHeight="1">
      <c r="A805" s="46"/>
      <c r="C805" s="46"/>
    </row>
    <row r="806" ht="15.75" customHeight="1">
      <c r="A806" s="46"/>
      <c r="C806" s="46"/>
    </row>
    <row r="807" ht="15.75" customHeight="1">
      <c r="A807" s="46"/>
      <c r="C807" s="46"/>
    </row>
    <row r="808" ht="15.75" customHeight="1">
      <c r="A808" s="46"/>
      <c r="C808" s="46"/>
    </row>
    <row r="809" ht="15.75" customHeight="1">
      <c r="A809" s="46"/>
      <c r="C809" s="46"/>
    </row>
    <row r="810" ht="15.75" customHeight="1">
      <c r="A810" s="46"/>
      <c r="C810" s="46"/>
    </row>
    <row r="811" ht="15.75" customHeight="1">
      <c r="A811" s="46"/>
      <c r="C811" s="46"/>
    </row>
    <row r="812" ht="15.75" customHeight="1">
      <c r="A812" s="46"/>
      <c r="C812" s="46"/>
    </row>
    <row r="813" ht="15.75" customHeight="1">
      <c r="A813" s="46"/>
      <c r="C813" s="46"/>
    </row>
    <row r="814" ht="15.75" customHeight="1">
      <c r="A814" s="46"/>
      <c r="C814" s="46"/>
    </row>
    <row r="815" ht="15.75" customHeight="1">
      <c r="A815" s="46"/>
      <c r="C815" s="46"/>
    </row>
    <row r="816" ht="15.75" customHeight="1">
      <c r="A816" s="46"/>
      <c r="C816" s="46"/>
    </row>
    <row r="817" ht="15.75" customHeight="1">
      <c r="A817" s="46"/>
      <c r="C817" s="46"/>
    </row>
    <row r="818" ht="15.75" customHeight="1">
      <c r="A818" s="46"/>
      <c r="C818" s="46"/>
    </row>
    <row r="819" ht="15.75" customHeight="1">
      <c r="A819" s="46"/>
      <c r="C819" s="46"/>
    </row>
    <row r="820" ht="15.75" customHeight="1">
      <c r="A820" s="46"/>
      <c r="C820" s="46"/>
    </row>
    <row r="821" ht="15.75" customHeight="1">
      <c r="A821" s="46"/>
      <c r="C821" s="46"/>
    </row>
    <row r="822" ht="15.75" customHeight="1">
      <c r="A822" s="46"/>
      <c r="C822" s="46"/>
    </row>
    <row r="823" ht="15.75" customHeight="1">
      <c r="A823" s="46"/>
      <c r="C823" s="46"/>
    </row>
    <row r="824" ht="15.75" customHeight="1">
      <c r="A824" s="46"/>
      <c r="C824" s="46"/>
    </row>
    <row r="825" ht="15.75" customHeight="1">
      <c r="A825" s="46"/>
      <c r="C825" s="46"/>
    </row>
    <row r="826" ht="15.75" customHeight="1">
      <c r="A826" s="46"/>
      <c r="C826" s="46"/>
    </row>
    <row r="827" ht="15.75" customHeight="1">
      <c r="A827" s="46"/>
      <c r="C827" s="46"/>
    </row>
    <row r="828" ht="15.75" customHeight="1">
      <c r="A828" s="46"/>
      <c r="C828" s="46"/>
    </row>
    <row r="829" ht="15.75" customHeight="1">
      <c r="A829" s="46"/>
      <c r="C829" s="46"/>
    </row>
    <row r="830" ht="15.75" customHeight="1">
      <c r="A830" s="46"/>
      <c r="C830" s="46"/>
    </row>
    <row r="831" ht="15.75" customHeight="1">
      <c r="A831" s="46"/>
      <c r="C831" s="46"/>
    </row>
    <row r="832" ht="15.75" customHeight="1">
      <c r="A832" s="46"/>
      <c r="C832" s="46"/>
    </row>
    <row r="833" ht="15.75" customHeight="1">
      <c r="A833" s="46"/>
      <c r="C833" s="46"/>
    </row>
    <row r="834" ht="15.75" customHeight="1">
      <c r="A834" s="46"/>
      <c r="C834" s="46"/>
    </row>
    <row r="835" ht="15.75" customHeight="1">
      <c r="A835" s="46"/>
      <c r="C835" s="46"/>
    </row>
    <row r="836" ht="15.75" customHeight="1">
      <c r="A836" s="46"/>
      <c r="C836" s="46"/>
    </row>
    <row r="837" ht="15.75" customHeight="1">
      <c r="A837" s="46"/>
      <c r="C837" s="46"/>
    </row>
    <row r="838" ht="15.75" customHeight="1">
      <c r="A838" s="46"/>
      <c r="C838" s="46"/>
    </row>
    <row r="839" ht="15.75" customHeight="1">
      <c r="A839" s="46"/>
      <c r="C839" s="46"/>
    </row>
    <row r="840" ht="15.75" customHeight="1">
      <c r="A840" s="46"/>
      <c r="C840" s="46"/>
    </row>
    <row r="841" ht="15.75" customHeight="1">
      <c r="A841" s="46"/>
      <c r="C841" s="46"/>
    </row>
    <row r="842" ht="15.75" customHeight="1">
      <c r="A842" s="46"/>
      <c r="C842" s="46"/>
    </row>
    <row r="843" ht="15.75" customHeight="1">
      <c r="A843" s="46"/>
      <c r="C843" s="46"/>
    </row>
    <row r="844" ht="15.75" customHeight="1">
      <c r="A844" s="46"/>
      <c r="C844" s="46"/>
    </row>
    <row r="845" ht="15.75" customHeight="1">
      <c r="A845" s="46"/>
      <c r="C845" s="46"/>
    </row>
    <row r="846" ht="15.75" customHeight="1">
      <c r="A846" s="46"/>
      <c r="C846" s="46"/>
    </row>
    <row r="847" ht="15.75" customHeight="1">
      <c r="A847" s="46"/>
      <c r="C847" s="46"/>
    </row>
    <row r="848" ht="15.75" customHeight="1">
      <c r="A848" s="46"/>
      <c r="C848" s="46"/>
    </row>
    <row r="849" ht="15.75" customHeight="1">
      <c r="A849" s="46"/>
      <c r="C849" s="46"/>
    </row>
    <row r="850" ht="15.75" customHeight="1">
      <c r="A850" s="46"/>
      <c r="C850" s="46"/>
    </row>
    <row r="851" ht="15.75" customHeight="1">
      <c r="A851" s="46"/>
      <c r="C851" s="46"/>
    </row>
    <row r="852" ht="15.75" customHeight="1">
      <c r="A852" s="46"/>
      <c r="C852" s="46"/>
    </row>
    <row r="853" ht="15.75" customHeight="1">
      <c r="A853" s="46"/>
      <c r="C853" s="46"/>
    </row>
    <row r="854" ht="15.75" customHeight="1">
      <c r="A854" s="46"/>
      <c r="C854" s="46"/>
    </row>
    <row r="855" ht="15.75" customHeight="1">
      <c r="A855" s="46"/>
      <c r="C855" s="46"/>
    </row>
    <row r="856" ht="15.75" customHeight="1">
      <c r="A856" s="46"/>
      <c r="C856" s="46"/>
    </row>
    <row r="857" ht="15.75" customHeight="1">
      <c r="A857" s="46"/>
      <c r="C857" s="46"/>
    </row>
    <row r="858" ht="15.75" customHeight="1">
      <c r="A858" s="46"/>
      <c r="C858" s="46"/>
    </row>
    <row r="859" ht="15.75" customHeight="1">
      <c r="A859" s="46"/>
      <c r="C859" s="46"/>
    </row>
    <row r="860" ht="15.75" customHeight="1">
      <c r="A860" s="46"/>
      <c r="C860" s="46"/>
    </row>
    <row r="861" ht="15.75" customHeight="1">
      <c r="A861" s="46"/>
      <c r="C861" s="46"/>
    </row>
    <row r="862" ht="15.75" customHeight="1">
      <c r="A862" s="46"/>
      <c r="C862" s="46"/>
    </row>
    <row r="863" ht="15.75" customHeight="1">
      <c r="A863" s="46"/>
      <c r="C863" s="46"/>
    </row>
    <row r="864" ht="15.75" customHeight="1">
      <c r="A864" s="46"/>
      <c r="C864" s="46"/>
    </row>
    <row r="865" ht="15.75" customHeight="1">
      <c r="A865" s="46"/>
      <c r="C865" s="46"/>
    </row>
    <row r="866" ht="15.75" customHeight="1">
      <c r="A866" s="46"/>
      <c r="C866" s="46"/>
    </row>
    <row r="867" ht="15.75" customHeight="1">
      <c r="A867" s="46"/>
      <c r="C867" s="46"/>
    </row>
    <row r="868" ht="15.75" customHeight="1">
      <c r="A868" s="46"/>
      <c r="C868" s="46"/>
    </row>
    <row r="869" ht="15.75" customHeight="1">
      <c r="A869" s="46"/>
      <c r="C869" s="46"/>
    </row>
    <row r="870" ht="15.75" customHeight="1">
      <c r="A870" s="46"/>
      <c r="C870" s="46"/>
    </row>
    <row r="871" ht="15.75" customHeight="1">
      <c r="A871" s="46"/>
      <c r="C871" s="46"/>
    </row>
    <row r="872" ht="15.75" customHeight="1">
      <c r="A872" s="46"/>
      <c r="C872" s="46"/>
    </row>
    <row r="873" ht="15.75" customHeight="1">
      <c r="A873" s="46"/>
      <c r="C873" s="46"/>
    </row>
    <row r="874" ht="15.75" customHeight="1">
      <c r="A874" s="46"/>
      <c r="C874" s="46"/>
    </row>
    <row r="875" ht="15.75" customHeight="1">
      <c r="A875" s="46"/>
      <c r="C875" s="46"/>
    </row>
    <row r="876" ht="15.75" customHeight="1">
      <c r="A876" s="46"/>
      <c r="C876" s="46"/>
    </row>
    <row r="877" ht="15.75" customHeight="1">
      <c r="A877" s="46"/>
      <c r="C877" s="46"/>
    </row>
    <row r="878" ht="15.75" customHeight="1">
      <c r="A878" s="46"/>
      <c r="C878" s="46"/>
    </row>
    <row r="879" ht="15.75" customHeight="1">
      <c r="A879" s="46"/>
      <c r="C879" s="46"/>
    </row>
    <row r="880" ht="15.75" customHeight="1">
      <c r="A880" s="46"/>
      <c r="C880" s="46"/>
    </row>
    <row r="881" ht="15.75" customHeight="1">
      <c r="A881" s="46"/>
      <c r="C881" s="46"/>
    </row>
    <row r="882" ht="15.75" customHeight="1">
      <c r="A882" s="46"/>
      <c r="C882" s="46"/>
    </row>
    <row r="883" ht="15.75" customHeight="1">
      <c r="A883" s="46"/>
      <c r="C883" s="46"/>
    </row>
    <row r="884" ht="15.75" customHeight="1">
      <c r="A884" s="46"/>
      <c r="C884" s="46"/>
    </row>
    <row r="885" ht="15.75" customHeight="1">
      <c r="A885" s="46"/>
      <c r="C885" s="46"/>
    </row>
    <row r="886" ht="15.75" customHeight="1">
      <c r="A886" s="46"/>
      <c r="C886" s="46"/>
    </row>
    <row r="887" ht="15.75" customHeight="1">
      <c r="A887" s="46"/>
      <c r="C887" s="46"/>
    </row>
    <row r="888" ht="15.75" customHeight="1">
      <c r="A888" s="46"/>
      <c r="C888" s="46"/>
    </row>
    <row r="889" ht="15.75" customHeight="1">
      <c r="A889" s="46"/>
      <c r="C889" s="46"/>
    </row>
    <row r="890" ht="15.75" customHeight="1">
      <c r="A890" s="46"/>
      <c r="C890" s="46"/>
    </row>
    <row r="891" ht="15.75" customHeight="1">
      <c r="A891" s="46"/>
      <c r="C891" s="46"/>
    </row>
    <row r="892" ht="15.75" customHeight="1">
      <c r="A892" s="46"/>
      <c r="C892" s="46"/>
    </row>
    <row r="893" ht="15.75" customHeight="1">
      <c r="A893" s="46"/>
      <c r="C893" s="46"/>
    </row>
    <row r="894" ht="15.75" customHeight="1">
      <c r="A894" s="46"/>
      <c r="C894" s="46"/>
    </row>
    <row r="895" ht="15.75" customHeight="1">
      <c r="A895" s="46"/>
      <c r="C895" s="46"/>
    </row>
    <row r="896" ht="15.75" customHeight="1">
      <c r="A896" s="46"/>
      <c r="C896" s="46"/>
    </row>
    <row r="897" ht="15.75" customHeight="1">
      <c r="A897" s="46"/>
      <c r="C897" s="46"/>
    </row>
    <row r="898" ht="15.75" customHeight="1">
      <c r="A898" s="46"/>
      <c r="C898" s="46"/>
    </row>
    <row r="899" ht="15.75" customHeight="1">
      <c r="A899" s="46"/>
      <c r="C899" s="46"/>
    </row>
    <row r="900" ht="15.75" customHeight="1">
      <c r="A900" s="46"/>
      <c r="C900" s="46"/>
    </row>
    <row r="901" ht="15.75" customHeight="1">
      <c r="A901" s="46"/>
      <c r="C901" s="46"/>
    </row>
    <row r="902" ht="15.75" customHeight="1">
      <c r="A902" s="46"/>
      <c r="C902" s="46"/>
    </row>
    <row r="903" ht="15.75" customHeight="1">
      <c r="A903" s="46"/>
      <c r="C903" s="46"/>
    </row>
    <row r="904" ht="15.75" customHeight="1">
      <c r="A904" s="46"/>
      <c r="C904" s="46"/>
    </row>
    <row r="905" ht="15.75" customHeight="1">
      <c r="A905" s="46"/>
      <c r="C905" s="46"/>
    </row>
    <row r="906" ht="15.75" customHeight="1">
      <c r="A906" s="46"/>
      <c r="C906" s="46"/>
    </row>
    <row r="907" ht="15.75" customHeight="1">
      <c r="A907" s="46"/>
      <c r="C907" s="46"/>
    </row>
    <row r="908" ht="15.75" customHeight="1">
      <c r="A908" s="46"/>
      <c r="C908" s="46"/>
    </row>
    <row r="909" ht="15.75" customHeight="1">
      <c r="A909" s="46"/>
      <c r="C909" s="46"/>
    </row>
    <row r="910" ht="15.75" customHeight="1">
      <c r="A910" s="46"/>
      <c r="C910" s="46"/>
    </row>
    <row r="911" ht="15.75" customHeight="1">
      <c r="A911" s="46"/>
      <c r="C911" s="46"/>
    </row>
    <row r="912" ht="15.75" customHeight="1">
      <c r="A912" s="46"/>
      <c r="C912" s="46"/>
    </row>
    <row r="913" ht="15.75" customHeight="1">
      <c r="A913" s="46"/>
      <c r="C913" s="46"/>
    </row>
    <row r="914" ht="15.75" customHeight="1">
      <c r="A914" s="46"/>
      <c r="C914" s="46"/>
    </row>
    <row r="915" ht="15.75" customHeight="1">
      <c r="A915" s="46"/>
      <c r="C915" s="46"/>
    </row>
    <row r="916" ht="15.75" customHeight="1">
      <c r="A916" s="46"/>
      <c r="C916" s="46"/>
    </row>
    <row r="917" ht="15.75" customHeight="1">
      <c r="A917" s="46"/>
      <c r="C917" s="46"/>
    </row>
    <row r="918" ht="15.75" customHeight="1">
      <c r="A918" s="46"/>
      <c r="C918" s="46"/>
    </row>
    <row r="919" ht="15.75" customHeight="1">
      <c r="A919" s="46"/>
      <c r="C919" s="46"/>
    </row>
    <row r="920" ht="15.75" customHeight="1">
      <c r="A920" s="46"/>
      <c r="C920" s="46"/>
    </row>
    <row r="921" ht="15.75" customHeight="1">
      <c r="A921" s="46"/>
      <c r="C921" s="46"/>
    </row>
    <row r="922" ht="15.75" customHeight="1">
      <c r="A922" s="46"/>
      <c r="C922" s="46"/>
    </row>
    <row r="923" ht="15.75" customHeight="1">
      <c r="A923" s="46"/>
      <c r="C923" s="46"/>
    </row>
    <row r="924" ht="15.75" customHeight="1">
      <c r="A924" s="46"/>
      <c r="C924" s="46"/>
    </row>
    <row r="925" ht="15.75" customHeight="1">
      <c r="A925" s="46"/>
      <c r="C925" s="46"/>
    </row>
    <row r="926" ht="15.75" customHeight="1">
      <c r="A926" s="46"/>
      <c r="C926" s="46"/>
    </row>
    <row r="927" ht="15.75" customHeight="1">
      <c r="A927" s="46"/>
      <c r="C927" s="46"/>
    </row>
    <row r="928" ht="15.75" customHeight="1">
      <c r="A928" s="46"/>
      <c r="C928" s="46"/>
    </row>
    <row r="929" ht="15.75" customHeight="1">
      <c r="A929" s="46"/>
      <c r="C929" s="46"/>
    </row>
    <row r="930" ht="15.75" customHeight="1">
      <c r="A930" s="46"/>
      <c r="C930" s="46"/>
    </row>
    <row r="931" ht="15.75" customHeight="1">
      <c r="A931" s="46"/>
      <c r="C931" s="46"/>
    </row>
    <row r="932" ht="15.75" customHeight="1">
      <c r="A932" s="46"/>
      <c r="C932" s="46"/>
    </row>
    <row r="933" ht="15.75" customHeight="1">
      <c r="A933" s="46"/>
      <c r="C933" s="46"/>
    </row>
    <row r="934" ht="15.75" customHeight="1">
      <c r="A934" s="46"/>
      <c r="C934" s="46"/>
    </row>
    <row r="935" ht="15.75" customHeight="1">
      <c r="A935" s="46"/>
      <c r="C935" s="46"/>
    </row>
    <row r="936" ht="15.75" customHeight="1">
      <c r="A936" s="46"/>
      <c r="C936" s="46"/>
    </row>
    <row r="937" ht="15.75" customHeight="1">
      <c r="A937" s="46"/>
      <c r="C937" s="46"/>
    </row>
    <row r="938" ht="15.75" customHeight="1">
      <c r="A938" s="46"/>
      <c r="C938" s="46"/>
    </row>
    <row r="939" ht="15.75" customHeight="1">
      <c r="A939" s="46"/>
      <c r="C939" s="46"/>
    </row>
    <row r="940" ht="15.75" customHeight="1">
      <c r="A940" s="46"/>
      <c r="C940" s="46"/>
    </row>
    <row r="941" ht="15.75" customHeight="1">
      <c r="A941" s="46"/>
      <c r="C941" s="46"/>
    </row>
    <row r="942" ht="15.75" customHeight="1">
      <c r="A942" s="46"/>
      <c r="C942" s="46"/>
    </row>
    <row r="943" ht="15.75" customHeight="1">
      <c r="A943" s="46"/>
      <c r="C943" s="46"/>
    </row>
    <row r="944" ht="15.75" customHeight="1">
      <c r="A944" s="46"/>
      <c r="C944" s="46"/>
    </row>
    <row r="945" ht="15.75" customHeight="1">
      <c r="A945" s="46"/>
      <c r="C945" s="46"/>
    </row>
    <row r="946" ht="15.75" customHeight="1">
      <c r="A946" s="46"/>
      <c r="C946" s="46"/>
    </row>
    <row r="947" ht="15.75" customHeight="1">
      <c r="A947" s="46"/>
      <c r="C947" s="46"/>
    </row>
    <row r="948" ht="15.75" customHeight="1">
      <c r="A948" s="46"/>
      <c r="C948" s="46"/>
    </row>
    <row r="949" ht="15.75" customHeight="1">
      <c r="A949" s="46"/>
      <c r="C949" s="46"/>
    </row>
    <row r="950" ht="15.75" customHeight="1">
      <c r="A950" s="46"/>
      <c r="C950" s="46"/>
    </row>
    <row r="951" ht="15.75" customHeight="1">
      <c r="A951" s="46"/>
      <c r="C951" s="46"/>
    </row>
    <row r="952" ht="15.75" customHeight="1">
      <c r="A952" s="46"/>
      <c r="C952" s="46"/>
    </row>
    <row r="953" ht="15.75" customHeight="1">
      <c r="A953" s="46"/>
      <c r="C953" s="46"/>
    </row>
    <row r="954" ht="15.75" customHeight="1">
      <c r="A954" s="46"/>
      <c r="C954" s="46"/>
    </row>
    <row r="955" ht="15.75" customHeight="1">
      <c r="A955" s="46"/>
      <c r="C955" s="46"/>
    </row>
    <row r="956" ht="15.75" customHeight="1">
      <c r="A956" s="46"/>
      <c r="C956" s="46"/>
    </row>
    <row r="957" ht="15.75" customHeight="1">
      <c r="A957" s="46"/>
      <c r="C957" s="46"/>
    </row>
    <row r="958" ht="15.75" customHeight="1">
      <c r="A958" s="46"/>
      <c r="C958" s="46"/>
    </row>
    <row r="959" ht="15.75" customHeight="1">
      <c r="A959" s="46"/>
      <c r="C959" s="46"/>
    </row>
    <row r="960" ht="15.75" customHeight="1">
      <c r="A960" s="46"/>
      <c r="C960" s="46"/>
    </row>
    <row r="961" ht="15.75" customHeight="1">
      <c r="A961" s="46"/>
      <c r="C961" s="46"/>
    </row>
    <row r="962" ht="15.75" customHeight="1">
      <c r="A962" s="46"/>
      <c r="C962" s="46"/>
    </row>
    <row r="963" ht="15.75" customHeight="1">
      <c r="A963" s="46"/>
      <c r="C963" s="46"/>
    </row>
    <row r="964" ht="15.75" customHeight="1">
      <c r="A964" s="46"/>
      <c r="C964" s="46"/>
    </row>
    <row r="965" ht="15.75" customHeight="1">
      <c r="A965" s="46"/>
      <c r="C965" s="46"/>
    </row>
    <row r="966" ht="15.75" customHeight="1">
      <c r="A966" s="46"/>
      <c r="C966" s="46"/>
    </row>
    <row r="967" ht="15.75" customHeight="1">
      <c r="A967" s="46"/>
      <c r="C967" s="46"/>
    </row>
    <row r="968" ht="15.75" customHeight="1">
      <c r="A968" s="46"/>
      <c r="C968" s="46"/>
    </row>
    <row r="969" ht="15.75" customHeight="1">
      <c r="A969" s="46"/>
      <c r="C969" s="46"/>
    </row>
    <row r="970" ht="15.75" customHeight="1">
      <c r="A970" s="46"/>
      <c r="C970" s="46"/>
    </row>
    <row r="971" ht="15.75" customHeight="1">
      <c r="A971" s="46"/>
      <c r="C971" s="46"/>
    </row>
    <row r="972" ht="15.75" customHeight="1">
      <c r="A972" s="46"/>
      <c r="C972" s="46"/>
    </row>
    <row r="973" ht="15.75" customHeight="1">
      <c r="A973" s="46"/>
      <c r="C973" s="46"/>
    </row>
    <row r="974" ht="15.75" customHeight="1">
      <c r="A974" s="46"/>
      <c r="C974" s="46"/>
    </row>
    <row r="975" ht="15.75" customHeight="1">
      <c r="A975" s="46"/>
      <c r="C975" s="46"/>
    </row>
    <row r="976" ht="15.75" customHeight="1">
      <c r="A976" s="46"/>
      <c r="C976" s="46"/>
    </row>
    <row r="977" ht="15.75" customHeight="1">
      <c r="A977" s="46"/>
      <c r="C977" s="46"/>
    </row>
    <row r="978" ht="15.75" customHeight="1">
      <c r="A978" s="46"/>
      <c r="C978" s="46"/>
    </row>
    <row r="979" ht="15.75" customHeight="1">
      <c r="A979" s="46"/>
      <c r="C979" s="46"/>
    </row>
    <row r="980" ht="15.75" customHeight="1">
      <c r="A980" s="46"/>
      <c r="C980" s="46"/>
    </row>
    <row r="981" ht="15.75" customHeight="1">
      <c r="A981" s="46"/>
      <c r="C981" s="46"/>
    </row>
    <row r="982" ht="15.75" customHeight="1">
      <c r="A982" s="46"/>
      <c r="C982" s="46"/>
    </row>
    <row r="983" ht="15.75" customHeight="1">
      <c r="A983" s="46"/>
      <c r="C983" s="46"/>
    </row>
    <row r="984" ht="15.75" customHeight="1">
      <c r="A984" s="46"/>
      <c r="C984" s="46"/>
    </row>
    <row r="985" ht="15.75" customHeight="1">
      <c r="A985" s="46"/>
      <c r="C985" s="46"/>
    </row>
    <row r="986" ht="15.75" customHeight="1">
      <c r="A986" s="46"/>
      <c r="C986" s="46"/>
    </row>
    <row r="987" ht="15.75" customHeight="1">
      <c r="A987" s="46"/>
      <c r="C987" s="46"/>
    </row>
    <row r="988" ht="15.75" customHeight="1">
      <c r="A988" s="46"/>
      <c r="C988" s="46"/>
    </row>
    <row r="989" ht="15.75" customHeight="1">
      <c r="A989" s="46"/>
      <c r="C989" s="46"/>
    </row>
    <row r="990" ht="15.75" customHeight="1">
      <c r="A990" s="46"/>
      <c r="C990" s="46"/>
    </row>
    <row r="991" ht="15.75" customHeight="1">
      <c r="A991" s="46"/>
      <c r="C991" s="46"/>
    </row>
    <row r="992" ht="15.75" customHeight="1">
      <c r="A992" s="46"/>
      <c r="C992" s="46"/>
    </row>
    <row r="993" ht="15.75" customHeight="1">
      <c r="A993" s="46"/>
      <c r="C993" s="46"/>
    </row>
    <row r="994" ht="15.75" customHeight="1">
      <c r="A994" s="46"/>
      <c r="C994" s="46"/>
    </row>
    <row r="995" ht="15.75" customHeight="1">
      <c r="A995" s="46"/>
      <c r="C995" s="46"/>
    </row>
    <row r="996" ht="15.75" customHeight="1">
      <c r="A996" s="46"/>
      <c r="C996" s="46"/>
    </row>
    <row r="997" ht="15.75" customHeight="1">
      <c r="A997" s="46"/>
      <c r="C997" s="46"/>
    </row>
    <row r="998" ht="15.75" customHeight="1">
      <c r="A998" s="46"/>
      <c r="C998" s="46"/>
    </row>
    <row r="999" ht="15.75" customHeight="1">
      <c r="A999" s="46"/>
      <c r="C999" s="46"/>
    </row>
    <row r="1000" ht="15.75" customHeight="1">
      <c r="A1000" s="46"/>
      <c r="C1000" s="46"/>
    </row>
  </sheetData>
  <autoFilter ref="A1:L2"/>
  <conditionalFormatting sqref="E2:E1000">
    <cfRule type="expression" dxfId="1" priority="1">
      <formula>$E2="active"</formula>
    </cfRule>
  </conditionalFormatting>
  <conditionalFormatting sqref="E2:E1000">
    <cfRule type="expression" dxfId="1" priority="2">
      <formula>$E2="completed"</formula>
    </cfRule>
  </conditionalFormatting>
  <conditionalFormatting sqref="E2:E1000">
    <cfRule type="expression" dxfId="1" priority="3">
      <formula>$E2="paid"</formula>
    </cfRule>
  </conditionalFormatting>
  <conditionalFormatting sqref="E2:E1000">
    <cfRule type="expression" dxfId="1" priority="4">
      <formula>$E2="present"</formula>
    </cfRule>
  </conditionalFormatting>
  <conditionalFormatting sqref="E2:E1000">
    <cfRule type="expression" dxfId="2" priority="5">
      <formula>$E2="inactive"</formula>
    </cfRule>
  </conditionalFormatting>
  <conditionalFormatting sqref="E2:E1000">
    <cfRule type="expression" dxfId="3" priority="6">
      <formula>$E2="absent"</formula>
    </cfRule>
  </conditionalFormatting>
  <conditionalFormatting sqref="E2:E1000">
    <cfRule type="expression" dxfId="4" priority="7">
      <formula>$E2="late"</formula>
    </cfRule>
  </conditionalFormatting>
  <conditionalFormatting sqref="E2:E1000">
    <cfRule type="expression" dxfId="4" priority="8">
      <formula>$E2="pending"</formula>
    </cfRule>
  </conditionalFormatting>
  <conditionalFormatting sqref="E2:E1000">
    <cfRule type="expression" dxfId="3" priority="9">
      <formula>$E2="cancelled"</formula>
    </cfRule>
  </conditionalFormatting>
  <dataValidations>
    <dataValidation type="list" allowBlank="1" sqref="E2:E501">
      <formula1>DanhMuc!$B$2:$B$100</formula1>
    </dataValidation>
  </dataValidations>
  <printOptions/>
  <pageMargins bottom="0.75" footer="0.0" header="0.0" left="0.7" right="0.7" top="0.7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891B2"/>
    <pageSetUpPr/>
  </sheetPr>
  <sheetViews>
    <sheetView showGridLines="0" workbookViewId="0">
      <pane ySplit="1" topLeftCell="A2" activePane="bottomLeft" state="frozen"/>
      <selection pane="bottomLeft"/>
    </sheetView>
  </sheetViews>
  <sheetFormatPr customHeight="1" defaultColWidth="12.63" defaultRowHeight="15.0"/>
  <cols>
    <col min="1" max="1" width="10" customWidth="1"/>
    <col min="2" max="2" width="10" customWidth="1"/>
    <col min="3" max="3" width="10" customWidth="1"/>
    <col min="4" max="4" width="10" customWidth="1"/>
    <col min="5" max="5" width="10" customWidth="1"/>
    <col min="6" max="6" width="10" customWidth="1"/>
    <col min="7" max="7" width="11" customWidth="1"/>
    <col min="8" max="8" width="14" customWidth="1"/>
    <col min="9" max="9" width="10" customWidth="1"/>
    <col min="10" max="10" width="10" customWidth="1"/>
    <col min="11" max="11" width="10" customWidth="1"/>
    <col min="12" max="12" width="13" customWidth="1"/>
    <col min="13" max="13" width="13" customWidth="1"/>
    <col min="14" max="14" width="42" customWidth="1"/>
    <col min="15" max="15" width="21" customWidth="1"/>
    <col min="16" max="16" width="21" customWidth="1"/>
  </cols>
  <sheetData>
    <row r="1" ht="31.5" customHeight="1">
      <c r="A1" s="3" t="s">
        <v>405</v>
      </c>
      <c r="B1" s="3" t="s">
        <v>406</v>
      </c>
      <c r="C1" s="3" t="s">
        <v>407</v>
      </c>
      <c r="D1" s="3" t="s">
        <v>131</v>
      </c>
      <c r="E1" s="3" t="s">
        <v>130</v>
      </c>
      <c r="F1" s="3" t="s">
        <v>391</v>
      </c>
      <c r="G1" s="3" t="s">
        <v>140</v>
      </c>
      <c r="H1" s="3" t="s">
        <v>408</v>
      </c>
      <c r="I1" s="3" t="s">
        <v>409</v>
      </c>
      <c r="J1" s="3" t="s">
        <v>410</v>
      </c>
      <c r="K1" s="3" t="s">
        <v>411</v>
      </c>
      <c r="L1" s="3" t="s">
        <v>141</v>
      </c>
      <c r="M1" s="3" t="s">
        <v>142</v>
      </c>
      <c r="N1" s="3" t="s">
        <v>145</v>
      </c>
      <c r="O1" s="3" t="s">
        <v>146</v>
      </c>
      <c r="P1" s="3" t="s">
        <v>113</v>
      </c>
    </row>
    <row r="2" ht="22.5" customHeight="1">
      <c r="A2" s="30" t="inlineStr">
        <is>
          <t>12A</t>
        </is>
      </c>
      <c r="B2" s="30" t="s">
        <v>412</v>
      </c>
      <c r="C2" s="30" t="s">
        <v>115</v>
      </c>
      <c r="D2" s="48">
        <v>12</v>
      </c>
      <c r="E2" s="29" t="inlineStr">
        <is>
          <t>Đào Tấn</t>
        </is>
      </c>
      <c r="F2" s="28" t="inlineStr">
        <is>
          <t>GV0001</t>
        </is>
      </c>
      <c r="G2" s="29" t="inlineStr">
        <is>
          <t>active</t>
        </is>
      </c>
      <c r="H2" s="49">
        <v>600000</v>
      </c>
      <c r="I2" s="30" t="s">
        <v>413</v>
      </c>
      <c r="J2" s="30" t="s">
        <v>414</v>
      </c>
      <c r="K2" s="30" t="s">
        <v>415</v>
      </c>
      <c r="L2" s="33">
        <v>46200.0</v>
      </c>
      <c r="M2" s="21"/>
      <c r="N2" s="29" t="s">
        <v>416</v>
      </c>
      <c r="O2" s="33" t="s">
        <v>417</v>
      </c>
      <c r="P2" s="33" t="s">
        <v>417</v>
      </c>
    </row>
    <row r="3" ht="22.5" customHeight="1">
      <c r="A3" s="36" t="inlineStr">
        <is>
          <t>12B</t>
        </is>
      </c>
      <c r="B3" s="36" t="s">
        <v>418</v>
      </c>
      <c r="C3" s="36" t="s">
        <v>115</v>
      </c>
      <c r="D3" s="48">
        <v>12</v>
      </c>
      <c r="E3" s="35" t="inlineStr">
        <is>
          <t>Đào Tấn</t>
        </is>
      </c>
      <c r="F3" s="28" t="inlineStr">
        <is>
          <t>GV0001</t>
        </is>
      </c>
      <c r="G3" s="35" t="inlineStr">
        <is>
          <t>active</t>
        </is>
      </c>
      <c r="H3" s="49">
        <v>600000</v>
      </c>
      <c r="I3" s="36" t="s">
        <v>419</v>
      </c>
      <c r="J3" s="36" t="s">
        <v>420</v>
      </c>
      <c r="K3" s="36" t="s">
        <v>421</v>
      </c>
      <c r="L3" s="38">
        <v>46200.0</v>
      </c>
      <c r="M3" s="22"/>
      <c r="N3" s="35" t="s">
        <v>422</v>
      </c>
      <c r="O3" s="38" t="s">
        <v>423</v>
      </c>
      <c r="P3" s="38" t="s">
        <v>423</v>
      </c>
    </row>
    <row r="4" ht="22.5" customHeight="1">
      <c r="A4" s="30" t="inlineStr">
        <is>
          <t>6A</t>
        </is>
      </c>
      <c r="B4" s="30" t="s">
        <v>424</v>
      </c>
      <c r="C4" s="30" t="s">
        <v>115</v>
      </c>
      <c r="D4" s="48">
        <v>6</v>
      </c>
      <c r="E4" s="29" t="inlineStr">
        <is>
          <t>Đào Tấn</t>
        </is>
      </c>
      <c r="F4" s="28" t="inlineStr">
        <is>
          <t>GV0001</t>
        </is>
      </c>
      <c r="G4" s="29" t="inlineStr">
        <is>
          <t>active</t>
        </is>
      </c>
      <c r="H4" s="49">
        <v>600000</v>
      </c>
      <c r="I4" s="30" t="s">
        <v>425</v>
      </c>
      <c r="J4" s="30" t="s">
        <v>426</v>
      </c>
      <c r="K4" s="57"/>
      <c r="L4" s="33"/>
      <c r="M4" s="21"/>
      <c r="N4" s="29"/>
      <c r="O4" s="33" t="s">
        <v>427</v>
      </c>
      <c r="P4" s="33" t="s">
        <v>428</v>
      </c>
    </row>
    <row r="5" ht="22.5" customHeight="1">
      <c r="A5" s="36" t="inlineStr">
        <is>
          <t>10A</t>
        </is>
      </c>
      <c r="B5" s="36" t="s">
        <v>429</v>
      </c>
      <c r="C5" s="36" t="s">
        <v>115</v>
      </c>
      <c r="D5" s="48">
        <v>10</v>
      </c>
      <c r="E5" s="35" t="inlineStr">
        <is>
          <t>??o T?n</t>
        </is>
      </c>
      <c r="F5" s="28" t="inlineStr">
        <is>
          <t>GV0001</t>
        </is>
      </c>
      <c r="G5" s="35" t="inlineStr">
        <is>
          <t>active</t>
        </is>
      </c>
      <c r="H5" s="49">
        <v>600000</v>
      </c>
      <c r="I5" s="36" t="s">
        <v>431</v>
      </c>
      <c r="J5" s="36" t="s">
        <v>432</v>
      </c>
      <c r="K5" s="36" t="s">
        <v>433</v>
      </c>
      <c r="L5" s="38">
        <v>46200.0</v>
      </c>
      <c r="M5" s="22"/>
      <c r="N5" s="35" t="s">
        <v>434</v>
      </c>
      <c r="O5" s="38" t="s">
        <v>435</v>
      </c>
      <c r="P5" s="38" t="s">
        <v>436</v>
      </c>
    </row>
    <row r="6">
      <c r="A6" s="23"/>
      <c r="B6" s="23"/>
      <c r="C6" s="23"/>
      <c r="D6" s="23"/>
      <c r="E6" s="23"/>
      <c r="F6" s="23"/>
      <c r="G6" s="23"/>
      <c r="H6" s="54"/>
      <c r="I6" s="23"/>
      <c r="J6" s="23"/>
      <c r="K6" s="23"/>
      <c r="L6" s="24"/>
      <c r="M6" s="24"/>
      <c r="N6" s="23"/>
      <c r="O6" s="45"/>
      <c r="P6" s="45"/>
    </row>
    <row r="7">
      <c r="A7" s="25"/>
      <c r="B7" s="25"/>
      <c r="C7" s="25"/>
      <c r="D7" s="25"/>
      <c r="E7" s="25"/>
      <c r="F7" s="25"/>
      <c r="G7" s="25"/>
      <c r="H7" s="55"/>
      <c r="I7" s="25"/>
      <c r="J7" s="25"/>
      <c r="K7" s="25"/>
      <c r="L7" s="26"/>
      <c r="M7" s="26"/>
      <c r="N7" s="25"/>
      <c r="O7" s="43"/>
      <c r="P7" s="43"/>
    </row>
    <row r="8">
      <c r="A8" s="23"/>
      <c r="B8" s="23"/>
      <c r="C8" s="23"/>
      <c r="D8" s="23"/>
      <c r="E8" s="23"/>
      <c r="F8" s="23"/>
      <c r="G8" s="23"/>
      <c r="H8" s="54"/>
      <c r="I8" s="23"/>
      <c r="J8" s="23"/>
      <c r="K8" s="23"/>
      <c r="L8" s="24"/>
      <c r="M8" s="24"/>
      <c r="N8" s="23"/>
      <c r="O8" s="45"/>
      <c r="P8" s="45"/>
    </row>
    <row r="9">
      <c r="A9" s="25"/>
      <c r="B9" s="25"/>
      <c r="C9" s="25"/>
      <c r="D9" s="25"/>
      <c r="E9" s="25"/>
      <c r="F9" s="25"/>
      <c r="G9" s="25"/>
      <c r="H9" s="55"/>
      <c r="I9" s="25"/>
      <c r="J9" s="25"/>
      <c r="K9" s="25"/>
      <c r="L9" s="26"/>
      <c r="M9" s="26"/>
      <c r="N9" s="25"/>
      <c r="O9" s="43"/>
      <c r="P9" s="43"/>
    </row>
    <row r="10">
      <c r="A10" s="23"/>
      <c r="B10" s="23"/>
      <c r="C10" s="23"/>
      <c r="D10" s="23"/>
      <c r="E10" s="23"/>
      <c r="F10" s="23"/>
      <c r="G10" s="23"/>
      <c r="H10" s="54"/>
      <c r="I10" s="23"/>
      <c r="J10" s="23"/>
      <c r="K10" s="23"/>
      <c r="L10" s="24"/>
      <c r="M10" s="24"/>
      <c r="N10" s="23"/>
      <c r="O10" s="45"/>
      <c r="P10" s="45"/>
    </row>
    <row r="11">
      <c r="A11" s="25"/>
      <c r="B11" s="25"/>
      <c r="C11" s="25"/>
      <c r="D11" s="25"/>
      <c r="E11" s="25"/>
      <c r="F11" s="25"/>
      <c r="G11" s="25"/>
      <c r="H11" s="55"/>
      <c r="I11" s="25"/>
      <c r="J11" s="25"/>
      <c r="K11" s="25"/>
      <c r="L11" s="26"/>
      <c r="M11" s="26"/>
      <c r="N11" s="25"/>
      <c r="O11" s="43"/>
      <c r="P11" s="43"/>
    </row>
    <row r="12">
      <c r="A12" s="23"/>
      <c r="B12" s="23"/>
      <c r="C12" s="23"/>
      <c r="D12" s="23"/>
      <c r="E12" s="23"/>
      <c r="F12" s="23"/>
      <c r="G12" s="23"/>
      <c r="H12" s="54"/>
      <c r="I12" s="23"/>
      <c r="J12" s="23"/>
      <c r="K12" s="23"/>
      <c r="L12" s="24"/>
      <c r="M12" s="24"/>
      <c r="N12" s="23"/>
      <c r="O12" s="45"/>
      <c r="P12" s="45"/>
    </row>
    <row r="13">
      <c r="A13" s="25"/>
      <c r="B13" s="25"/>
      <c r="C13" s="25"/>
      <c r="D13" s="25"/>
      <c r="E13" s="25"/>
      <c r="F13" s="25"/>
      <c r="G13" s="25"/>
      <c r="H13" s="55"/>
      <c r="I13" s="25"/>
      <c r="J13" s="25"/>
      <c r="K13" s="25"/>
      <c r="L13" s="26"/>
      <c r="M13" s="26"/>
      <c r="N13" s="25"/>
      <c r="O13" s="43"/>
      <c r="P13" s="43"/>
    </row>
    <row r="14">
      <c r="A14" s="23"/>
      <c r="B14" s="23"/>
      <c r="C14" s="23"/>
      <c r="D14" s="23"/>
      <c r="E14" s="23"/>
      <c r="F14" s="23"/>
      <c r="G14" s="23"/>
      <c r="H14" s="54"/>
      <c r="I14" s="23"/>
      <c r="J14" s="23"/>
      <c r="K14" s="23"/>
      <c r="L14" s="24"/>
      <c r="M14" s="24"/>
      <c r="N14" s="23"/>
      <c r="O14" s="45"/>
      <c r="P14" s="45"/>
    </row>
    <row r="15">
      <c r="A15" s="25"/>
      <c r="B15" s="25"/>
      <c r="C15" s="25"/>
      <c r="D15" s="25"/>
      <c r="E15" s="25"/>
      <c r="F15" s="25"/>
      <c r="G15" s="25"/>
      <c r="H15" s="55"/>
      <c r="I15" s="25"/>
      <c r="J15" s="25"/>
      <c r="K15" s="25"/>
      <c r="L15" s="26"/>
      <c r="M15" s="26"/>
      <c r="N15" s="25"/>
      <c r="O15" s="43"/>
      <c r="P15" s="43"/>
    </row>
    <row r="16">
      <c r="A16" s="23"/>
      <c r="B16" s="23"/>
      <c r="C16" s="23"/>
      <c r="D16" s="23"/>
      <c r="E16" s="23"/>
      <c r="F16" s="23"/>
      <c r="G16" s="23"/>
      <c r="H16" s="54"/>
      <c r="I16" s="23"/>
      <c r="J16" s="23"/>
      <c r="K16" s="23"/>
      <c r="L16" s="24"/>
      <c r="M16" s="24"/>
      <c r="N16" s="23"/>
      <c r="O16" s="45"/>
      <c r="P16" s="45"/>
    </row>
    <row r="17" ht="15.75" customHeight="1">
      <c r="A17" s="25"/>
      <c r="B17" s="25"/>
      <c r="C17" s="25"/>
      <c r="D17" s="25"/>
      <c r="E17" s="25"/>
      <c r="F17" s="25"/>
      <c r="G17" s="25"/>
      <c r="H17" s="55"/>
      <c r="I17" s="25"/>
      <c r="J17" s="25"/>
      <c r="K17" s="25"/>
      <c r="L17" s="26"/>
      <c r="M17" s="26"/>
      <c r="N17" s="25"/>
      <c r="O17" s="43"/>
      <c r="P17" s="43"/>
    </row>
    <row r="18" ht="15.75" customHeight="1">
      <c r="A18" s="23"/>
      <c r="B18" s="23"/>
      <c r="C18" s="23"/>
      <c r="D18" s="23"/>
      <c r="E18" s="23"/>
      <c r="F18" s="23"/>
      <c r="G18" s="23"/>
      <c r="H18" s="54"/>
      <c r="I18" s="23"/>
      <c r="J18" s="23"/>
      <c r="K18" s="23"/>
      <c r="L18" s="24"/>
      <c r="M18" s="24"/>
      <c r="N18" s="23"/>
      <c r="O18" s="45"/>
      <c r="P18" s="45"/>
    </row>
    <row r="19" ht="15.75" customHeight="1">
      <c r="A19" s="25"/>
      <c r="B19" s="25"/>
      <c r="C19" s="25"/>
      <c r="D19" s="25"/>
      <c r="E19" s="25"/>
      <c r="F19" s="25"/>
      <c r="G19" s="25"/>
      <c r="H19" s="55"/>
      <c r="I19" s="25"/>
      <c r="J19" s="25"/>
      <c r="K19" s="25"/>
      <c r="L19" s="26"/>
      <c r="M19" s="26"/>
      <c r="N19" s="25"/>
      <c r="O19" s="43"/>
      <c r="P19" s="43"/>
    </row>
    <row r="20" ht="15.75" customHeight="1">
      <c r="A20" s="23"/>
      <c r="B20" s="23"/>
      <c r="C20" s="23"/>
      <c r="D20" s="23"/>
      <c r="E20" s="23"/>
      <c r="F20" s="23"/>
      <c r="G20" s="23"/>
      <c r="H20" s="54"/>
      <c r="I20" s="23"/>
      <c r="J20" s="23"/>
      <c r="K20" s="23"/>
      <c r="L20" s="24"/>
      <c r="M20" s="24"/>
      <c r="N20" s="23"/>
      <c r="O20" s="45"/>
      <c r="P20" s="45"/>
    </row>
    <row r="21" ht="15.75" customHeight="1">
      <c r="A21" s="25"/>
      <c r="B21" s="25"/>
      <c r="C21" s="25"/>
      <c r="D21" s="25"/>
      <c r="E21" s="25"/>
      <c r="F21" s="25"/>
      <c r="G21" s="25"/>
      <c r="H21" s="55"/>
      <c r="I21" s="25"/>
      <c r="J21" s="25"/>
      <c r="K21" s="25"/>
      <c r="L21" s="26"/>
      <c r="M21" s="26"/>
      <c r="N21" s="25"/>
      <c r="O21" s="43"/>
      <c r="P21" s="43"/>
    </row>
    <row r="22" ht="15.75" customHeight="1">
      <c r="A22" s="23"/>
      <c r="B22" s="23"/>
      <c r="C22" s="23"/>
      <c r="D22" s="23"/>
      <c r="E22" s="23"/>
      <c r="F22" s="23"/>
      <c r="G22" s="23"/>
      <c r="H22" s="54"/>
      <c r="I22" s="23"/>
      <c r="J22" s="23"/>
      <c r="K22" s="23"/>
      <c r="L22" s="24"/>
      <c r="M22" s="24"/>
      <c r="N22" s="23"/>
      <c r="O22" s="45"/>
      <c r="P22" s="45"/>
    </row>
    <row r="23" ht="15.75" customHeight="1">
      <c r="A23" s="25"/>
      <c r="B23" s="25"/>
      <c r="C23" s="25"/>
      <c r="D23" s="25"/>
      <c r="E23" s="25"/>
      <c r="F23" s="25"/>
      <c r="G23" s="25"/>
      <c r="H23" s="55"/>
      <c r="I23" s="25"/>
      <c r="J23" s="25"/>
      <c r="K23" s="25"/>
      <c r="L23" s="26"/>
      <c r="M23" s="26"/>
      <c r="N23" s="25"/>
      <c r="O23" s="43"/>
      <c r="P23" s="43"/>
    </row>
    <row r="24" ht="15.75" customHeight="1">
      <c r="A24" s="23"/>
      <c r="B24" s="23"/>
      <c r="C24" s="23"/>
      <c r="D24" s="23"/>
      <c r="E24" s="23"/>
      <c r="F24" s="23"/>
      <c r="G24" s="23"/>
      <c r="H24" s="54"/>
      <c r="I24" s="23"/>
      <c r="J24" s="23"/>
      <c r="K24" s="23"/>
      <c r="L24" s="24"/>
      <c r="M24" s="24"/>
      <c r="N24" s="23"/>
      <c r="O24" s="45"/>
      <c r="P24" s="45"/>
    </row>
    <row r="25" ht="15.75" customHeight="1">
      <c r="A25" s="25"/>
      <c r="B25" s="25"/>
      <c r="C25" s="25"/>
      <c r="D25" s="25"/>
      <c r="E25" s="25"/>
      <c r="F25" s="25"/>
      <c r="G25" s="25"/>
      <c r="H25" s="55"/>
      <c r="I25" s="25"/>
      <c r="J25" s="25"/>
      <c r="K25" s="25"/>
      <c r="L25" s="26"/>
      <c r="M25" s="26"/>
      <c r="N25" s="25"/>
      <c r="O25" s="43"/>
      <c r="P25" s="43"/>
    </row>
    <row r="26" ht="15.75" customHeight="1">
      <c r="A26" s="23"/>
      <c r="B26" s="23"/>
      <c r="C26" s="23"/>
      <c r="D26" s="23"/>
      <c r="E26" s="23"/>
      <c r="F26" s="23"/>
      <c r="G26" s="23"/>
      <c r="H26" s="54"/>
      <c r="I26" s="23"/>
      <c r="J26" s="23"/>
      <c r="K26" s="23"/>
      <c r="L26" s="24"/>
      <c r="M26" s="24"/>
      <c r="N26" s="23"/>
      <c r="O26" s="45"/>
      <c r="P26" s="45"/>
    </row>
    <row r="27" ht="15.75" customHeight="1">
      <c r="A27" s="25"/>
      <c r="B27" s="25"/>
      <c r="C27" s="25"/>
      <c r="D27" s="25"/>
      <c r="E27" s="25"/>
      <c r="F27" s="25"/>
      <c r="G27" s="25"/>
      <c r="H27" s="55"/>
      <c r="I27" s="25"/>
      <c r="J27" s="25"/>
      <c r="K27" s="25"/>
      <c r="L27" s="26"/>
      <c r="M27" s="26"/>
      <c r="N27" s="25"/>
      <c r="O27" s="43"/>
      <c r="P27" s="43"/>
    </row>
    <row r="28" ht="15.75" customHeight="1">
      <c r="A28" s="23"/>
      <c r="B28" s="23"/>
      <c r="C28" s="23"/>
      <c r="D28" s="23"/>
      <c r="E28" s="23"/>
      <c r="F28" s="23"/>
      <c r="G28" s="23"/>
      <c r="H28" s="54"/>
      <c r="I28" s="23"/>
      <c r="J28" s="23"/>
      <c r="K28" s="23"/>
      <c r="L28" s="24"/>
      <c r="M28" s="24"/>
      <c r="N28" s="23"/>
      <c r="O28" s="45"/>
      <c r="P28" s="45"/>
    </row>
    <row r="29" ht="15.75" customHeight="1">
      <c r="A29" s="25"/>
      <c r="B29" s="25"/>
      <c r="C29" s="25"/>
      <c r="D29" s="25"/>
      <c r="E29" s="25"/>
      <c r="F29" s="25"/>
      <c r="G29" s="25"/>
      <c r="H29" s="55"/>
      <c r="I29" s="25"/>
      <c r="J29" s="25"/>
      <c r="K29" s="25"/>
      <c r="L29" s="26"/>
      <c r="M29" s="26"/>
      <c r="N29" s="25"/>
      <c r="O29" s="43"/>
      <c r="P29" s="43"/>
    </row>
    <row r="30" ht="15.75" customHeight="1">
      <c r="A30" s="23"/>
      <c r="B30" s="23"/>
      <c r="C30" s="23"/>
      <c r="D30" s="23"/>
      <c r="E30" s="23"/>
      <c r="F30" s="23"/>
      <c r="G30" s="23"/>
      <c r="H30" s="54"/>
      <c r="I30" s="23"/>
      <c r="J30" s="23"/>
      <c r="K30" s="23"/>
      <c r="L30" s="24"/>
      <c r="M30" s="24"/>
      <c r="N30" s="23"/>
      <c r="O30" s="45"/>
      <c r="P30" s="45"/>
    </row>
    <row r="31" ht="15.75" customHeight="1">
      <c r="A31" s="25"/>
      <c r="B31" s="25"/>
      <c r="C31" s="25"/>
      <c r="D31" s="25"/>
      <c r="E31" s="25"/>
      <c r="F31" s="25"/>
      <c r="G31" s="25"/>
      <c r="H31" s="55"/>
      <c r="I31" s="25"/>
      <c r="J31" s="25"/>
      <c r="K31" s="25"/>
      <c r="L31" s="26"/>
      <c r="M31" s="26"/>
      <c r="N31" s="25"/>
      <c r="O31" s="43"/>
      <c r="P31" s="43"/>
    </row>
    <row r="32" ht="15.75" customHeight="1">
      <c r="A32" s="23"/>
      <c r="B32" s="23"/>
      <c r="C32" s="23"/>
      <c r="D32" s="23"/>
      <c r="E32" s="23"/>
      <c r="F32" s="23"/>
      <c r="G32" s="23"/>
      <c r="H32" s="54"/>
      <c r="I32" s="23"/>
      <c r="J32" s="23"/>
      <c r="K32" s="23"/>
      <c r="L32" s="24"/>
      <c r="M32" s="24"/>
      <c r="N32" s="23"/>
      <c r="O32" s="45"/>
      <c r="P32" s="45"/>
    </row>
    <row r="33" ht="15.75" customHeight="1">
      <c r="A33" s="25"/>
      <c r="B33" s="25"/>
      <c r="C33" s="25"/>
      <c r="D33" s="25"/>
      <c r="E33" s="25"/>
      <c r="F33" s="25"/>
      <c r="G33" s="25"/>
      <c r="H33" s="55"/>
      <c r="I33" s="25"/>
      <c r="J33" s="25"/>
      <c r="K33" s="25"/>
      <c r="L33" s="26"/>
      <c r="M33" s="26"/>
      <c r="N33" s="25"/>
      <c r="O33" s="43"/>
      <c r="P33" s="43"/>
    </row>
    <row r="34" ht="15.75" customHeight="1">
      <c r="A34" s="23"/>
      <c r="B34" s="23"/>
      <c r="C34" s="23"/>
      <c r="D34" s="23"/>
      <c r="E34" s="23"/>
      <c r="F34" s="23"/>
      <c r="G34" s="23"/>
      <c r="H34" s="54"/>
      <c r="I34" s="23"/>
      <c r="J34" s="23"/>
      <c r="K34" s="23"/>
      <c r="L34" s="24"/>
      <c r="M34" s="24"/>
      <c r="N34" s="23"/>
      <c r="O34" s="45"/>
      <c r="P34" s="45"/>
    </row>
    <row r="35" ht="15.75" customHeight="1">
      <c r="A35" s="25"/>
      <c r="B35" s="25"/>
      <c r="C35" s="25"/>
      <c r="D35" s="25"/>
      <c r="E35" s="25"/>
      <c r="F35" s="25"/>
      <c r="G35" s="25"/>
      <c r="H35" s="55"/>
      <c r="I35" s="25"/>
      <c r="J35" s="25"/>
      <c r="K35" s="25"/>
      <c r="L35" s="26"/>
      <c r="M35" s="26"/>
      <c r="N35" s="25"/>
      <c r="O35" s="43"/>
      <c r="P35" s="43"/>
    </row>
    <row r="36" ht="15.75" customHeight="1">
      <c r="A36" s="23"/>
      <c r="B36" s="23"/>
      <c r="C36" s="23"/>
      <c r="D36" s="23"/>
      <c r="E36" s="23"/>
      <c r="F36" s="23"/>
      <c r="G36" s="23"/>
      <c r="H36" s="54"/>
      <c r="I36" s="23"/>
      <c r="J36" s="23"/>
      <c r="K36" s="23"/>
      <c r="L36" s="24"/>
      <c r="M36" s="24"/>
      <c r="N36" s="23"/>
      <c r="O36" s="45"/>
      <c r="P36" s="45"/>
    </row>
    <row r="37" ht="15.75" customHeight="1">
      <c r="A37" s="25"/>
      <c r="B37" s="25"/>
      <c r="C37" s="25"/>
      <c r="D37" s="25"/>
      <c r="E37" s="25"/>
      <c r="F37" s="25"/>
      <c r="G37" s="25"/>
      <c r="H37" s="55"/>
      <c r="I37" s="25"/>
      <c r="J37" s="25"/>
      <c r="K37" s="25"/>
      <c r="L37" s="26"/>
      <c r="M37" s="26"/>
      <c r="N37" s="25"/>
      <c r="O37" s="43"/>
      <c r="P37" s="43"/>
    </row>
    <row r="38" ht="15.75" customHeight="1">
      <c r="A38" s="23"/>
      <c r="B38" s="23"/>
      <c r="C38" s="23"/>
      <c r="D38" s="23"/>
      <c r="E38" s="23"/>
      <c r="F38" s="23"/>
      <c r="G38" s="23"/>
      <c r="H38" s="54"/>
      <c r="I38" s="23"/>
      <c r="J38" s="23"/>
      <c r="K38" s="23"/>
      <c r="L38" s="24"/>
      <c r="M38" s="24"/>
      <c r="N38" s="23"/>
      <c r="O38" s="45"/>
      <c r="P38" s="45"/>
    </row>
    <row r="39" ht="15.75" customHeight="1">
      <c r="A39" s="25"/>
      <c r="B39" s="25"/>
      <c r="C39" s="25"/>
      <c r="D39" s="25"/>
      <c r="E39" s="25"/>
      <c r="F39" s="25"/>
      <c r="G39" s="25"/>
      <c r="H39" s="55"/>
      <c r="I39" s="25"/>
      <c r="J39" s="25"/>
      <c r="K39" s="25"/>
      <c r="L39" s="26"/>
      <c r="M39" s="26"/>
      <c r="N39" s="25"/>
      <c r="O39" s="43"/>
      <c r="P39" s="43"/>
    </row>
    <row r="40" ht="15.75" customHeight="1">
      <c r="A40" s="23"/>
      <c r="B40" s="23"/>
      <c r="C40" s="23"/>
      <c r="D40" s="23"/>
      <c r="E40" s="23"/>
      <c r="F40" s="23"/>
      <c r="G40" s="23"/>
      <c r="H40" s="54"/>
      <c r="I40" s="23"/>
      <c r="J40" s="23"/>
      <c r="K40" s="23"/>
      <c r="L40" s="24"/>
      <c r="M40" s="24"/>
      <c r="N40" s="23"/>
      <c r="O40" s="45"/>
      <c r="P40" s="45"/>
    </row>
    <row r="41" ht="15.75" customHeight="1">
      <c r="A41" s="25"/>
      <c r="B41" s="25"/>
      <c r="C41" s="25"/>
      <c r="D41" s="25"/>
      <c r="E41" s="25"/>
      <c r="F41" s="25"/>
      <c r="G41" s="25"/>
      <c r="H41" s="55"/>
      <c r="I41" s="25"/>
      <c r="J41" s="25"/>
      <c r="K41" s="25"/>
      <c r="L41" s="26"/>
      <c r="M41" s="26"/>
      <c r="N41" s="25"/>
      <c r="O41" s="43"/>
      <c r="P41" s="43"/>
    </row>
    <row r="42" ht="15.75" customHeight="1">
      <c r="A42" s="23"/>
      <c r="B42" s="23"/>
      <c r="C42" s="23"/>
      <c r="D42" s="23"/>
      <c r="E42" s="23"/>
      <c r="F42" s="23"/>
      <c r="G42" s="23"/>
      <c r="H42" s="54"/>
      <c r="I42" s="23"/>
      <c r="J42" s="23"/>
      <c r="K42" s="23"/>
      <c r="L42" s="24"/>
      <c r="M42" s="24"/>
      <c r="N42" s="23"/>
      <c r="O42" s="45"/>
      <c r="P42" s="45"/>
    </row>
    <row r="43" ht="15.75" customHeight="1">
      <c r="A43" s="25"/>
      <c r="B43" s="25"/>
      <c r="C43" s="25"/>
      <c r="D43" s="25"/>
      <c r="E43" s="25"/>
      <c r="F43" s="25"/>
      <c r="G43" s="25"/>
      <c r="H43" s="55"/>
      <c r="I43" s="25"/>
      <c r="J43" s="25"/>
      <c r="K43" s="25"/>
      <c r="L43" s="26"/>
      <c r="M43" s="26"/>
      <c r="N43" s="25"/>
      <c r="O43" s="43"/>
      <c r="P43" s="43"/>
    </row>
    <row r="44" ht="15.75" customHeight="1">
      <c r="A44" s="23"/>
      <c r="B44" s="23"/>
      <c r="C44" s="23"/>
      <c r="D44" s="23"/>
      <c r="E44" s="23"/>
      <c r="F44" s="23"/>
      <c r="G44" s="23"/>
      <c r="H44" s="54"/>
      <c r="I44" s="23"/>
      <c r="J44" s="23"/>
      <c r="K44" s="23"/>
      <c r="L44" s="24"/>
      <c r="M44" s="24"/>
      <c r="N44" s="23"/>
      <c r="O44" s="45"/>
      <c r="P44" s="45"/>
    </row>
    <row r="45" ht="15.75" customHeight="1">
      <c r="A45" s="25"/>
      <c r="B45" s="25"/>
      <c r="C45" s="25"/>
      <c r="D45" s="25"/>
      <c r="E45" s="25"/>
      <c r="F45" s="25"/>
      <c r="G45" s="25"/>
      <c r="H45" s="55"/>
      <c r="I45" s="25"/>
      <c r="J45" s="25"/>
      <c r="K45" s="25"/>
      <c r="L45" s="26"/>
      <c r="M45" s="26"/>
      <c r="N45" s="25"/>
      <c r="O45" s="43"/>
      <c r="P45" s="43"/>
    </row>
    <row r="46" ht="15.75" customHeight="1">
      <c r="A46" s="23"/>
      <c r="B46" s="23"/>
      <c r="C46" s="23"/>
      <c r="D46" s="23"/>
      <c r="E46" s="23"/>
      <c r="F46" s="23"/>
      <c r="G46" s="23"/>
      <c r="H46" s="54"/>
      <c r="I46" s="23"/>
      <c r="J46" s="23"/>
      <c r="K46" s="23"/>
      <c r="L46" s="24"/>
      <c r="M46" s="24"/>
      <c r="N46" s="23"/>
      <c r="O46" s="45"/>
      <c r="P46" s="45"/>
    </row>
    <row r="47" ht="15.75" customHeight="1">
      <c r="A47" s="25"/>
      <c r="B47" s="25"/>
      <c r="C47" s="25"/>
      <c r="D47" s="25"/>
      <c r="E47" s="25"/>
      <c r="F47" s="25"/>
      <c r="G47" s="25"/>
      <c r="H47" s="55"/>
      <c r="I47" s="25"/>
      <c r="J47" s="25"/>
      <c r="K47" s="25"/>
      <c r="L47" s="26"/>
      <c r="M47" s="26"/>
      <c r="N47" s="25"/>
      <c r="O47" s="43"/>
      <c r="P47" s="43"/>
    </row>
    <row r="48" ht="15.75" customHeight="1">
      <c r="A48" s="23"/>
      <c r="B48" s="23"/>
      <c r="C48" s="23"/>
      <c r="D48" s="23"/>
      <c r="E48" s="23"/>
      <c r="F48" s="23"/>
      <c r="G48" s="23"/>
      <c r="H48" s="54"/>
      <c r="I48" s="23"/>
      <c r="J48" s="23"/>
      <c r="K48" s="23"/>
      <c r="L48" s="24"/>
      <c r="M48" s="24"/>
      <c r="N48" s="23"/>
      <c r="O48" s="45"/>
      <c r="P48" s="45"/>
    </row>
    <row r="49" ht="15.75" customHeight="1">
      <c r="A49" s="25"/>
      <c r="B49" s="25"/>
      <c r="C49" s="25"/>
      <c r="D49" s="25"/>
      <c r="E49" s="25"/>
      <c r="F49" s="25"/>
      <c r="G49" s="25"/>
      <c r="H49" s="55"/>
      <c r="I49" s="25"/>
      <c r="J49" s="25"/>
      <c r="K49" s="25"/>
      <c r="L49" s="26"/>
      <c r="M49" s="26"/>
      <c r="N49" s="25"/>
      <c r="O49" s="43"/>
      <c r="P49" s="43"/>
    </row>
    <row r="50" ht="15.75" customHeight="1">
      <c r="A50" s="23"/>
      <c r="B50" s="23"/>
      <c r="C50" s="23"/>
      <c r="D50" s="23"/>
      <c r="E50" s="23"/>
      <c r="F50" s="23"/>
      <c r="G50" s="23"/>
      <c r="H50" s="54"/>
      <c r="I50" s="23"/>
      <c r="J50" s="23"/>
      <c r="K50" s="23"/>
      <c r="L50" s="24"/>
      <c r="M50" s="24"/>
      <c r="N50" s="23"/>
      <c r="O50" s="45"/>
      <c r="P50" s="45"/>
    </row>
    <row r="51" ht="15.75" customHeight="1">
      <c r="A51" s="25"/>
      <c r="B51" s="25"/>
      <c r="C51" s="25"/>
      <c r="D51" s="25"/>
      <c r="E51" s="25"/>
      <c r="F51" s="25"/>
      <c r="G51" s="25"/>
      <c r="H51" s="55"/>
      <c r="I51" s="25"/>
      <c r="J51" s="25"/>
      <c r="K51" s="25"/>
      <c r="L51" s="26"/>
      <c r="M51" s="26"/>
      <c r="N51" s="25"/>
      <c r="O51" s="43"/>
      <c r="P51" s="43"/>
    </row>
    <row r="52" ht="15.75" customHeight="1">
      <c r="A52" s="23"/>
      <c r="B52" s="23"/>
      <c r="C52" s="23"/>
      <c r="D52" s="23"/>
      <c r="E52" s="23"/>
      <c r="F52" s="23"/>
      <c r="G52" s="23"/>
      <c r="H52" s="54"/>
      <c r="I52" s="23"/>
      <c r="J52" s="23"/>
      <c r="K52" s="23"/>
      <c r="L52" s="24"/>
      <c r="M52" s="24"/>
      <c r="N52" s="23"/>
      <c r="O52" s="45"/>
      <c r="P52" s="45"/>
    </row>
    <row r="53" ht="15.75" customHeight="1">
      <c r="A53" s="25"/>
      <c r="B53" s="25"/>
      <c r="C53" s="25"/>
      <c r="D53" s="25"/>
      <c r="E53" s="25"/>
      <c r="F53" s="25"/>
      <c r="G53" s="25"/>
      <c r="H53" s="55"/>
      <c r="I53" s="25"/>
      <c r="J53" s="25"/>
      <c r="K53" s="25"/>
      <c r="L53" s="26"/>
      <c r="M53" s="26"/>
      <c r="N53" s="25"/>
      <c r="O53" s="43"/>
      <c r="P53" s="43"/>
    </row>
    <row r="54" ht="15.75" customHeight="1">
      <c r="A54" s="23"/>
      <c r="B54" s="23"/>
      <c r="C54" s="23"/>
      <c r="D54" s="23"/>
      <c r="E54" s="23"/>
      <c r="F54" s="23"/>
      <c r="G54" s="23"/>
      <c r="H54" s="54"/>
      <c r="I54" s="23"/>
      <c r="J54" s="23"/>
      <c r="K54" s="23"/>
      <c r="L54" s="24"/>
      <c r="M54" s="24"/>
      <c r="N54" s="23"/>
      <c r="O54" s="45"/>
      <c r="P54" s="45"/>
    </row>
    <row r="55" ht="15.75" customHeight="1">
      <c r="A55" s="25"/>
      <c r="B55" s="25"/>
      <c r="C55" s="25"/>
      <c r="D55" s="25"/>
      <c r="E55" s="25"/>
      <c r="F55" s="25"/>
      <c r="G55" s="25"/>
      <c r="H55" s="55"/>
      <c r="I55" s="25"/>
      <c r="J55" s="25"/>
      <c r="K55" s="25"/>
      <c r="L55" s="26"/>
      <c r="M55" s="26"/>
      <c r="N55" s="25"/>
      <c r="O55" s="43"/>
      <c r="P55" s="43"/>
    </row>
    <row r="56" ht="15.75" customHeight="1">
      <c r="A56" s="23"/>
      <c r="B56" s="23"/>
      <c r="C56" s="23"/>
      <c r="D56" s="23"/>
      <c r="E56" s="23"/>
      <c r="F56" s="23"/>
      <c r="G56" s="23"/>
      <c r="H56" s="54"/>
      <c r="I56" s="23"/>
      <c r="J56" s="23"/>
      <c r="K56" s="23"/>
      <c r="L56" s="24"/>
      <c r="M56" s="24"/>
      <c r="N56" s="23"/>
      <c r="O56" s="45"/>
      <c r="P56" s="45"/>
    </row>
    <row r="57" ht="15.75" customHeight="1">
      <c r="A57" s="25"/>
      <c r="B57" s="25"/>
      <c r="C57" s="25"/>
      <c r="D57" s="25"/>
      <c r="E57" s="25"/>
      <c r="F57" s="25"/>
      <c r="G57" s="25"/>
      <c r="H57" s="55"/>
      <c r="I57" s="25"/>
      <c r="J57" s="25"/>
      <c r="K57" s="25"/>
      <c r="L57" s="26"/>
      <c r="M57" s="26"/>
      <c r="N57" s="25"/>
      <c r="O57" s="43"/>
      <c r="P57" s="43"/>
    </row>
    <row r="58" ht="15.75" customHeight="1">
      <c r="A58" s="23"/>
      <c r="B58" s="23"/>
      <c r="C58" s="23"/>
      <c r="D58" s="23"/>
      <c r="E58" s="23"/>
      <c r="F58" s="23"/>
      <c r="G58" s="23"/>
      <c r="H58" s="54"/>
      <c r="I58" s="23"/>
      <c r="J58" s="23"/>
      <c r="K58" s="23"/>
      <c r="L58" s="24"/>
      <c r="M58" s="24"/>
      <c r="N58" s="23"/>
      <c r="O58" s="45"/>
      <c r="P58" s="45"/>
    </row>
    <row r="59" ht="15.75" customHeight="1">
      <c r="A59" s="25"/>
      <c r="B59" s="25"/>
      <c r="C59" s="25"/>
      <c r="D59" s="25"/>
      <c r="E59" s="25"/>
      <c r="F59" s="25"/>
      <c r="G59" s="25"/>
      <c r="H59" s="55"/>
      <c r="I59" s="25"/>
      <c r="J59" s="25"/>
      <c r="K59" s="25"/>
      <c r="L59" s="26"/>
      <c r="M59" s="26"/>
      <c r="N59" s="25"/>
      <c r="O59" s="43"/>
      <c r="P59" s="43"/>
    </row>
    <row r="60" ht="15.75" customHeight="1">
      <c r="A60" s="23"/>
      <c r="B60" s="23"/>
      <c r="C60" s="23"/>
      <c r="D60" s="23"/>
      <c r="E60" s="23"/>
      <c r="F60" s="23"/>
      <c r="G60" s="23"/>
      <c r="H60" s="54"/>
      <c r="I60" s="23"/>
      <c r="J60" s="23"/>
      <c r="K60" s="23"/>
      <c r="L60" s="24"/>
      <c r="M60" s="24"/>
      <c r="N60" s="23"/>
      <c r="O60" s="45"/>
      <c r="P60" s="45"/>
    </row>
    <row r="61" ht="15.75" customHeight="1">
      <c r="A61" s="25"/>
      <c r="B61" s="25"/>
      <c r="C61" s="25"/>
      <c r="D61" s="25"/>
      <c r="E61" s="25"/>
      <c r="F61" s="25"/>
      <c r="G61" s="25"/>
      <c r="H61" s="55"/>
      <c r="I61" s="25"/>
      <c r="J61" s="25"/>
      <c r="K61" s="25"/>
      <c r="L61" s="26"/>
      <c r="M61" s="26"/>
      <c r="N61" s="25"/>
      <c r="O61" s="43"/>
      <c r="P61" s="43"/>
    </row>
    <row r="62" ht="15.75" customHeight="1">
      <c r="A62" s="23"/>
      <c r="B62" s="23"/>
      <c r="C62" s="23"/>
      <c r="D62" s="23"/>
      <c r="E62" s="23"/>
      <c r="F62" s="23"/>
      <c r="G62" s="23"/>
      <c r="H62" s="54"/>
      <c r="I62" s="23"/>
      <c r="J62" s="23"/>
      <c r="K62" s="23"/>
      <c r="L62" s="24"/>
      <c r="M62" s="24"/>
      <c r="N62" s="23"/>
      <c r="O62" s="45"/>
      <c r="P62" s="45"/>
    </row>
    <row r="63" ht="15.75" customHeight="1">
      <c r="A63" s="25"/>
      <c r="B63" s="25"/>
      <c r="C63" s="25"/>
      <c r="D63" s="25"/>
      <c r="E63" s="25"/>
      <c r="F63" s="25"/>
      <c r="G63" s="25"/>
      <c r="H63" s="55"/>
      <c r="I63" s="25"/>
      <c r="J63" s="25"/>
      <c r="K63" s="25"/>
      <c r="L63" s="26"/>
      <c r="M63" s="26"/>
      <c r="N63" s="25"/>
      <c r="O63" s="43"/>
      <c r="P63" s="43"/>
    </row>
    <row r="64" ht="15.75" customHeight="1">
      <c r="A64" s="23"/>
      <c r="B64" s="23"/>
      <c r="C64" s="23"/>
      <c r="D64" s="23"/>
      <c r="E64" s="23"/>
      <c r="F64" s="23"/>
      <c r="G64" s="23"/>
      <c r="H64" s="54"/>
      <c r="I64" s="23"/>
      <c r="J64" s="23"/>
      <c r="K64" s="23"/>
      <c r="L64" s="24"/>
      <c r="M64" s="24"/>
      <c r="N64" s="23"/>
      <c r="O64" s="45"/>
      <c r="P64" s="45"/>
    </row>
    <row r="65" ht="15.75" customHeight="1">
      <c r="A65" s="25"/>
      <c r="B65" s="25"/>
      <c r="C65" s="25"/>
      <c r="D65" s="25"/>
      <c r="E65" s="25"/>
      <c r="F65" s="25"/>
      <c r="G65" s="25"/>
      <c r="H65" s="55"/>
      <c r="I65" s="25"/>
      <c r="J65" s="25"/>
      <c r="K65" s="25"/>
      <c r="L65" s="26"/>
      <c r="M65" s="26"/>
      <c r="N65" s="25"/>
      <c r="O65" s="43"/>
      <c r="P65" s="43"/>
    </row>
    <row r="66" ht="15.75" customHeight="1">
      <c r="A66" s="23"/>
      <c r="B66" s="23"/>
      <c r="C66" s="23"/>
      <c r="D66" s="23"/>
      <c r="E66" s="23"/>
      <c r="F66" s="23"/>
      <c r="G66" s="23"/>
      <c r="H66" s="54"/>
      <c r="I66" s="23"/>
      <c r="J66" s="23"/>
      <c r="K66" s="23"/>
      <c r="L66" s="24"/>
      <c r="M66" s="24"/>
      <c r="N66" s="23"/>
      <c r="O66" s="45"/>
      <c r="P66" s="45"/>
    </row>
    <row r="67" ht="15.75" customHeight="1">
      <c r="A67" s="25"/>
      <c r="B67" s="25"/>
      <c r="C67" s="25"/>
      <c r="D67" s="25"/>
      <c r="E67" s="25"/>
      <c r="F67" s="25"/>
      <c r="G67" s="25"/>
      <c r="H67" s="55"/>
      <c r="I67" s="25"/>
      <c r="J67" s="25"/>
      <c r="K67" s="25"/>
      <c r="L67" s="26"/>
      <c r="M67" s="26"/>
      <c r="N67" s="25"/>
      <c r="O67" s="43"/>
      <c r="P67" s="43"/>
    </row>
    <row r="68" ht="15.75" customHeight="1">
      <c r="A68" s="23"/>
      <c r="B68" s="23"/>
      <c r="C68" s="23"/>
      <c r="D68" s="23"/>
      <c r="E68" s="23"/>
      <c r="F68" s="23"/>
      <c r="G68" s="23"/>
      <c r="H68" s="54"/>
      <c r="I68" s="23"/>
      <c r="J68" s="23"/>
      <c r="K68" s="23"/>
      <c r="L68" s="24"/>
      <c r="M68" s="24"/>
      <c r="N68" s="23"/>
      <c r="O68" s="45"/>
      <c r="P68" s="45"/>
    </row>
    <row r="69" ht="15.75" customHeight="1">
      <c r="A69" s="25"/>
      <c r="B69" s="25"/>
      <c r="C69" s="25"/>
      <c r="D69" s="25"/>
      <c r="E69" s="25"/>
      <c r="F69" s="25"/>
      <c r="G69" s="25"/>
      <c r="H69" s="55"/>
      <c r="I69" s="25"/>
      <c r="J69" s="25"/>
      <c r="K69" s="25"/>
      <c r="L69" s="26"/>
      <c r="M69" s="26"/>
      <c r="N69" s="25"/>
      <c r="O69" s="43"/>
      <c r="P69" s="43"/>
    </row>
    <row r="70" ht="15.75" customHeight="1">
      <c r="A70" s="23"/>
      <c r="B70" s="23"/>
      <c r="C70" s="23"/>
      <c r="D70" s="23"/>
      <c r="E70" s="23"/>
      <c r="F70" s="23"/>
      <c r="G70" s="23"/>
      <c r="H70" s="54"/>
      <c r="I70" s="23"/>
      <c r="J70" s="23"/>
      <c r="K70" s="23"/>
      <c r="L70" s="24"/>
      <c r="M70" s="24"/>
      <c r="N70" s="23"/>
      <c r="O70" s="45"/>
      <c r="P70" s="45"/>
    </row>
    <row r="71" ht="15.75" customHeight="1">
      <c r="A71" s="25"/>
      <c r="B71" s="25"/>
      <c r="C71" s="25"/>
      <c r="D71" s="25"/>
      <c r="E71" s="25"/>
      <c r="F71" s="25"/>
      <c r="G71" s="25"/>
      <c r="H71" s="55"/>
      <c r="I71" s="25"/>
      <c r="J71" s="25"/>
      <c r="K71" s="25"/>
      <c r="L71" s="26"/>
      <c r="M71" s="26"/>
      <c r="N71" s="25"/>
      <c r="O71" s="43"/>
      <c r="P71" s="43"/>
    </row>
    <row r="72" ht="15.75" customHeight="1">
      <c r="A72" s="23"/>
      <c r="B72" s="23"/>
      <c r="C72" s="23"/>
      <c r="D72" s="23"/>
      <c r="E72" s="23"/>
      <c r="F72" s="23"/>
      <c r="G72" s="23"/>
      <c r="H72" s="54"/>
      <c r="I72" s="23"/>
      <c r="J72" s="23"/>
      <c r="K72" s="23"/>
      <c r="L72" s="24"/>
      <c r="M72" s="24"/>
      <c r="N72" s="23"/>
      <c r="O72" s="45"/>
      <c r="P72" s="45"/>
    </row>
    <row r="73" ht="15.75" customHeight="1">
      <c r="A73" s="25"/>
      <c r="B73" s="25"/>
      <c r="C73" s="25"/>
      <c r="D73" s="25"/>
      <c r="E73" s="25"/>
      <c r="F73" s="25"/>
      <c r="G73" s="25"/>
      <c r="H73" s="55"/>
      <c r="I73" s="25"/>
      <c r="J73" s="25"/>
      <c r="K73" s="25"/>
      <c r="L73" s="26"/>
      <c r="M73" s="26"/>
      <c r="N73" s="25"/>
      <c r="O73" s="43"/>
      <c r="P73" s="43"/>
    </row>
    <row r="74" ht="15.75" customHeight="1">
      <c r="A74" s="23"/>
      <c r="B74" s="23"/>
      <c r="C74" s="23"/>
      <c r="D74" s="23"/>
      <c r="E74" s="23"/>
      <c r="F74" s="23"/>
      <c r="G74" s="23"/>
      <c r="H74" s="54"/>
      <c r="I74" s="23"/>
      <c r="J74" s="23"/>
      <c r="K74" s="23"/>
      <c r="L74" s="24"/>
      <c r="M74" s="24"/>
      <c r="N74" s="23"/>
      <c r="O74" s="45"/>
      <c r="P74" s="45"/>
    </row>
    <row r="75" ht="15.75" customHeight="1">
      <c r="A75" s="25"/>
      <c r="B75" s="25"/>
      <c r="C75" s="25"/>
      <c r="D75" s="25"/>
      <c r="E75" s="25"/>
      <c r="F75" s="25"/>
      <c r="G75" s="25"/>
      <c r="H75" s="55"/>
      <c r="I75" s="25"/>
      <c r="J75" s="25"/>
      <c r="K75" s="25"/>
      <c r="L75" s="26"/>
      <c r="M75" s="26"/>
      <c r="N75" s="25"/>
      <c r="O75" s="43"/>
      <c r="P75" s="43"/>
    </row>
    <row r="76" ht="15.75" customHeight="1">
      <c r="A76" s="23"/>
      <c r="B76" s="23"/>
      <c r="C76" s="23"/>
      <c r="D76" s="23"/>
      <c r="E76" s="23"/>
      <c r="F76" s="23"/>
      <c r="G76" s="23"/>
      <c r="H76" s="54"/>
      <c r="I76" s="23"/>
      <c r="J76" s="23"/>
      <c r="K76" s="23"/>
      <c r="L76" s="24"/>
      <c r="M76" s="24"/>
      <c r="N76" s="23"/>
      <c r="O76" s="45"/>
      <c r="P76" s="45"/>
    </row>
    <row r="77" ht="15.75" customHeight="1">
      <c r="A77" s="25"/>
      <c r="B77" s="25"/>
      <c r="C77" s="25"/>
      <c r="D77" s="25"/>
      <c r="E77" s="25"/>
      <c r="F77" s="25"/>
      <c r="G77" s="25"/>
      <c r="H77" s="55"/>
      <c r="I77" s="25"/>
      <c r="J77" s="25"/>
      <c r="K77" s="25"/>
      <c r="L77" s="26"/>
      <c r="M77" s="26"/>
      <c r="N77" s="25"/>
      <c r="O77" s="43"/>
      <c r="P77" s="43"/>
    </row>
    <row r="78" ht="15.75" customHeight="1">
      <c r="A78" s="23"/>
      <c r="B78" s="23"/>
      <c r="C78" s="23"/>
      <c r="D78" s="23"/>
      <c r="E78" s="23"/>
      <c r="F78" s="23"/>
      <c r="G78" s="23"/>
      <c r="H78" s="54"/>
      <c r="I78" s="23"/>
      <c r="J78" s="23"/>
      <c r="K78" s="23"/>
      <c r="L78" s="24"/>
      <c r="M78" s="24"/>
      <c r="N78" s="23"/>
      <c r="O78" s="45"/>
      <c r="P78" s="45"/>
    </row>
    <row r="79" ht="15.75" customHeight="1">
      <c r="A79" s="25"/>
      <c r="B79" s="25"/>
      <c r="C79" s="25"/>
      <c r="D79" s="25"/>
      <c r="E79" s="25"/>
      <c r="F79" s="25"/>
      <c r="G79" s="25"/>
      <c r="H79" s="55"/>
      <c r="I79" s="25"/>
      <c r="J79" s="25"/>
      <c r="K79" s="25"/>
      <c r="L79" s="26"/>
      <c r="M79" s="26"/>
      <c r="N79" s="25"/>
      <c r="O79" s="43"/>
      <c r="P79" s="43"/>
    </row>
    <row r="80" ht="15.75" customHeight="1">
      <c r="A80" s="23"/>
      <c r="B80" s="23"/>
      <c r="C80" s="23"/>
      <c r="D80" s="23"/>
      <c r="E80" s="23"/>
      <c r="F80" s="23"/>
      <c r="G80" s="23"/>
      <c r="H80" s="54"/>
      <c r="I80" s="23"/>
      <c r="J80" s="23"/>
      <c r="K80" s="23"/>
      <c r="L80" s="24"/>
      <c r="M80" s="24"/>
      <c r="N80" s="23"/>
      <c r="O80" s="45"/>
      <c r="P80" s="45"/>
    </row>
    <row r="81" ht="15.75" customHeight="1">
      <c r="A81" s="25"/>
      <c r="B81" s="25"/>
      <c r="C81" s="25"/>
      <c r="D81" s="25"/>
      <c r="E81" s="25"/>
      <c r="F81" s="25"/>
      <c r="G81" s="25"/>
      <c r="H81" s="55"/>
      <c r="I81" s="25"/>
      <c r="J81" s="25"/>
      <c r="K81" s="25"/>
      <c r="L81" s="26"/>
      <c r="M81" s="26"/>
      <c r="N81" s="25"/>
      <c r="O81" s="43"/>
      <c r="P81" s="43"/>
    </row>
    <row r="82" ht="15.75" customHeight="1">
      <c r="A82" s="23"/>
      <c r="B82" s="23"/>
      <c r="C82" s="23"/>
      <c r="D82" s="23"/>
      <c r="E82" s="23"/>
      <c r="F82" s="23"/>
      <c r="G82" s="23"/>
      <c r="H82" s="54"/>
      <c r="I82" s="23"/>
      <c r="J82" s="23"/>
      <c r="K82" s="23"/>
      <c r="L82" s="24"/>
      <c r="M82" s="24"/>
      <c r="N82" s="23"/>
      <c r="O82" s="45"/>
      <c r="P82" s="45"/>
    </row>
    <row r="83" ht="15.75" customHeight="1">
      <c r="A83" s="25"/>
      <c r="B83" s="25"/>
      <c r="C83" s="25"/>
      <c r="D83" s="25"/>
      <c r="E83" s="25"/>
      <c r="F83" s="25"/>
      <c r="G83" s="25"/>
      <c r="H83" s="55"/>
      <c r="I83" s="25"/>
      <c r="J83" s="25"/>
      <c r="K83" s="25"/>
      <c r="L83" s="26"/>
      <c r="M83" s="26"/>
      <c r="N83" s="25"/>
      <c r="O83" s="43"/>
      <c r="P83" s="43"/>
    </row>
    <row r="84" ht="15.75" customHeight="1">
      <c r="A84" s="23"/>
      <c r="B84" s="23"/>
      <c r="C84" s="23"/>
      <c r="D84" s="23"/>
      <c r="E84" s="23"/>
      <c r="F84" s="23"/>
      <c r="G84" s="23"/>
      <c r="H84" s="54"/>
      <c r="I84" s="23"/>
      <c r="J84" s="23"/>
      <c r="K84" s="23"/>
      <c r="L84" s="24"/>
      <c r="M84" s="24"/>
      <c r="N84" s="23"/>
      <c r="O84" s="45"/>
      <c r="P84" s="45"/>
    </row>
    <row r="85" ht="15.75" customHeight="1">
      <c r="A85" s="25"/>
      <c r="B85" s="25"/>
      <c r="C85" s="25"/>
      <c r="D85" s="25"/>
      <c r="E85" s="25"/>
      <c r="F85" s="25"/>
      <c r="G85" s="25"/>
      <c r="H85" s="55"/>
      <c r="I85" s="25"/>
      <c r="J85" s="25"/>
      <c r="K85" s="25"/>
      <c r="L85" s="26"/>
      <c r="M85" s="26"/>
      <c r="N85" s="25"/>
      <c r="O85" s="43"/>
      <c r="P85" s="43"/>
    </row>
    <row r="86" ht="15.75" customHeight="1">
      <c r="A86" s="23"/>
      <c r="B86" s="23"/>
      <c r="C86" s="23"/>
      <c r="D86" s="23"/>
      <c r="E86" s="23"/>
      <c r="F86" s="23"/>
      <c r="G86" s="23"/>
      <c r="H86" s="54"/>
      <c r="I86" s="23"/>
      <c r="J86" s="23"/>
      <c r="K86" s="23"/>
      <c r="L86" s="24"/>
      <c r="M86" s="24"/>
      <c r="N86" s="23"/>
      <c r="O86" s="45"/>
      <c r="P86" s="45"/>
    </row>
    <row r="87" ht="15.75" customHeight="1">
      <c r="A87" s="25"/>
      <c r="B87" s="25"/>
      <c r="C87" s="25"/>
      <c r="D87" s="25"/>
      <c r="E87" s="25"/>
      <c r="F87" s="25"/>
      <c r="G87" s="25"/>
      <c r="H87" s="55"/>
      <c r="I87" s="25"/>
      <c r="J87" s="25"/>
      <c r="K87" s="25"/>
      <c r="L87" s="26"/>
      <c r="M87" s="26"/>
      <c r="N87" s="25"/>
      <c r="O87" s="43"/>
      <c r="P87" s="43"/>
    </row>
    <row r="88" ht="15.75" customHeight="1">
      <c r="A88" s="23"/>
      <c r="B88" s="23"/>
      <c r="C88" s="23"/>
      <c r="D88" s="23"/>
      <c r="E88" s="23"/>
      <c r="F88" s="23"/>
      <c r="G88" s="23"/>
      <c r="H88" s="54"/>
      <c r="I88" s="23"/>
      <c r="J88" s="23"/>
      <c r="K88" s="23"/>
      <c r="L88" s="24"/>
      <c r="M88" s="24"/>
      <c r="N88" s="23"/>
      <c r="O88" s="45"/>
      <c r="P88" s="45"/>
    </row>
    <row r="89" ht="15.75" customHeight="1">
      <c r="A89" s="25"/>
      <c r="B89" s="25"/>
      <c r="C89" s="25"/>
      <c r="D89" s="25"/>
      <c r="E89" s="25"/>
      <c r="F89" s="25"/>
      <c r="G89" s="25"/>
      <c r="H89" s="55"/>
      <c r="I89" s="25"/>
      <c r="J89" s="25"/>
      <c r="K89" s="25"/>
      <c r="L89" s="26"/>
      <c r="M89" s="26"/>
      <c r="N89" s="25"/>
      <c r="O89" s="43"/>
      <c r="P89" s="43"/>
    </row>
    <row r="90" ht="15.75" customHeight="1">
      <c r="A90" s="23"/>
      <c r="B90" s="23"/>
      <c r="C90" s="23"/>
      <c r="D90" s="23"/>
      <c r="E90" s="23"/>
      <c r="F90" s="23"/>
      <c r="G90" s="23"/>
      <c r="H90" s="54"/>
      <c r="I90" s="23"/>
      <c r="J90" s="23"/>
      <c r="K90" s="23"/>
      <c r="L90" s="24"/>
      <c r="M90" s="24"/>
      <c r="N90" s="23"/>
      <c r="O90" s="45"/>
      <c r="P90" s="45"/>
    </row>
    <row r="91" ht="15.75" customHeight="1">
      <c r="A91" s="25"/>
      <c r="B91" s="25"/>
      <c r="C91" s="25"/>
      <c r="D91" s="25"/>
      <c r="E91" s="25"/>
      <c r="F91" s="25"/>
      <c r="G91" s="25"/>
      <c r="H91" s="55"/>
      <c r="I91" s="25"/>
      <c r="J91" s="25"/>
      <c r="K91" s="25"/>
      <c r="L91" s="26"/>
      <c r="M91" s="26"/>
      <c r="N91" s="25"/>
      <c r="O91" s="43"/>
      <c r="P91" s="43"/>
    </row>
    <row r="92" ht="15.75" customHeight="1">
      <c r="A92" s="23"/>
      <c r="B92" s="23"/>
      <c r="C92" s="23"/>
      <c r="D92" s="23"/>
      <c r="E92" s="23"/>
      <c r="F92" s="23"/>
      <c r="G92" s="23"/>
      <c r="H92" s="54"/>
      <c r="I92" s="23"/>
      <c r="J92" s="23"/>
      <c r="K92" s="23"/>
      <c r="L92" s="24"/>
      <c r="M92" s="24"/>
      <c r="N92" s="23"/>
      <c r="O92" s="45"/>
      <c r="P92" s="45"/>
    </row>
    <row r="93" ht="15.75" customHeight="1">
      <c r="A93" s="25"/>
      <c r="B93" s="25"/>
      <c r="C93" s="25"/>
      <c r="D93" s="25"/>
      <c r="E93" s="25"/>
      <c r="F93" s="25"/>
      <c r="G93" s="25"/>
      <c r="H93" s="55"/>
      <c r="I93" s="25"/>
      <c r="J93" s="25"/>
      <c r="K93" s="25"/>
      <c r="L93" s="26"/>
      <c r="M93" s="26"/>
      <c r="N93" s="25"/>
      <c r="O93" s="43"/>
      <c r="P93" s="43"/>
    </row>
    <row r="94" ht="15.75" customHeight="1">
      <c r="A94" s="23"/>
      <c r="B94" s="23"/>
      <c r="C94" s="23"/>
      <c r="D94" s="23"/>
      <c r="E94" s="23"/>
      <c r="F94" s="23"/>
      <c r="G94" s="23"/>
      <c r="H94" s="54"/>
      <c r="I94" s="23"/>
      <c r="J94" s="23"/>
      <c r="K94" s="23"/>
      <c r="L94" s="24"/>
      <c r="M94" s="24"/>
      <c r="N94" s="23"/>
      <c r="O94" s="45"/>
      <c r="P94" s="45"/>
    </row>
    <row r="95" ht="15.75" customHeight="1">
      <c r="A95" s="25"/>
      <c r="B95" s="25"/>
      <c r="C95" s="25"/>
      <c r="D95" s="25"/>
      <c r="E95" s="25"/>
      <c r="F95" s="25"/>
      <c r="G95" s="25"/>
      <c r="H95" s="55"/>
      <c r="I95" s="25"/>
      <c r="J95" s="25"/>
      <c r="K95" s="25"/>
      <c r="L95" s="26"/>
      <c r="M95" s="26"/>
      <c r="N95" s="25"/>
      <c r="O95" s="43"/>
      <c r="P95" s="43"/>
    </row>
    <row r="96" ht="15.75" customHeight="1">
      <c r="A96" s="23"/>
      <c r="B96" s="23"/>
      <c r="C96" s="23"/>
      <c r="D96" s="23"/>
      <c r="E96" s="23"/>
      <c r="F96" s="23"/>
      <c r="G96" s="23"/>
      <c r="H96" s="54"/>
      <c r="I96" s="23"/>
      <c r="J96" s="23"/>
      <c r="K96" s="23"/>
      <c r="L96" s="24"/>
      <c r="M96" s="24"/>
      <c r="N96" s="23"/>
      <c r="O96" s="45"/>
      <c r="P96" s="45"/>
    </row>
    <row r="97" ht="15.75" customHeight="1">
      <c r="A97" s="25"/>
      <c r="B97" s="25"/>
      <c r="C97" s="25"/>
      <c r="D97" s="25"/>
      <c r="E97" s="25"/>
      <c r="F97" s="25"/>
      <c r="G97" s="25"/>
      <c r="H97" s="55"/>
      <c r="I97" s="25"/>
      <c r="J97" s="25"/>
      <c r="K97" s="25"/>
      <c r="L97" s="26"/>
      <c r="M97" s="26"/>
      <c r="N97" s="25"/>
      <c r="O97" s="43"/>
      <c r="P97" s="43"/>
    </row>
    <row r="98" ht="15.75" customHeight="1">
      <c r="A98" s="23"/>
      <c r="B98" s="23"/>
      <c r="C98" s="23"/>
      <c r="D98" s="23"/>
      <c r="E98" s="23"/>
      <c r="F98" s="23"/>
      <c r="G98" s="23"/>
      <c r="H98" s="54"/>
      <c r="I98" s="23"/>
      <c r="J98" s="23"/>
      <c r="K98" s="23"/>
      <c r="L98" s="24"/>
      <c r="M98" s="24"/>
      <c r="N98" s="23"/>
      <c r="O98" s="45"/>
      <c r="P98" s="45"/>
    </row>
    <row r="99" ht="15.75" customHeight="1">
      <c r="A99" s="25"/>
      <c r="B99" s="25"/>
      <c r="C99" s="25"/>
      <c r="D99" s="25"/>
      <c r="E99" s="25"/>
      <c r="F99" s="25"/>
      <c r="G99" s="25"/>
      <c r="H99" s="55"/>
      <c r="I99" s="25"/>
      <c r="J99" s="25"/>
      <c r="K99" s="25"/>
      <c r="L99" s="26"/>
      <c r="M99" s="26"/>
      <c r="N99" s="25"/>
      <c r="O99" s="43"/>
      <c r="P99" s="43"/>
    </row>
    <row r="100" ht="15.75" customHeight="1">
      <c r="A100" s="23"/>
      <c r="B100" s="23"/>
      <c r="C100" s="23"/>
      <c r="D100" s="23"/>
      <c r="E100" s="23"/>
      <c r="F100" s="23"/>
      <c r="G100" s="23"/>
      <c r="H100" s="54"/>
      <c r="I100" s="23"/>
      <c r="J100" s="23"/>
      <c r="K100" s="23"/>
      <c r="L100" s="24"/>
      <c r="M100" s="24"/>
      <c r="N100" s="23"/>
      <c r="O100" s="45"/>
      <c r="P100" s="45"/>
    </row>
    <row r="101" ht="15.75" customHeight="1">
      <c r="A101" s="25"/>
      <c r="B101" s="25"/>
      <c r="C101" s="25"/>
      <c r="D101" s="25"/>
      <c r="E101" s="25"/>
      <c r="F101" s="25"/>
      <c r="G101" s="25"/>
      <c r="H101" s="55"/>
      <c r="I101" s="25"/>
      <c r="J101" s="25"/>
      <c r="K101" s="25"/>
      <c r="L101" s="26"/>
      <c r="M101" s="26"/>
      <c r="N101" s="25"/>
      <c r="O101" s="43"/>
      <c r="P101" s="43"/>
    </row>
    <row r="102" ht="15.75" customHeight="1">
      <c r="A102" s="23"/>
      <c r="B102" s="23"/>
      <c r="C102" s="23"/>
      <c r="D102" s="23"/>
      <c r="E102" s="23"/>
      <c r="F102" s="23"/>
      <c r="G102" s="23"/>
      <c r="H102" s="54"/>
      <c r="I102" s="23"/>
      <c r="J102" s="23"/>
      <c r="K102" s="23"/>
      <c r="L102" s="24"/>
      <c r="M102" s="24"/>
      <c r="N102" s="23"/>
      <c r="O102" s="45"/>
      <c r="P102" s="45"/>
    </row>
    <row r="103" ht="15.75" customHeight="1">
      <c r="A103" s="25"/>
      <c r="B103" s="25"/>
      <c r="C103" s="25"/>
      <c r="D103" s="25"/>
      <c r="E103" s="25"/>
      <c r="F103" s="25"/>
      <c r="G103" s="25"/>
      <c r="H103" s="55"/>
      <c r="I103" s="25"/>
      <c r="J103" s="25"/>
      <c r="K103" s="25"/>
      <c r="L103" s="26"/>
      <c r="M103" s="26"/>
      <c r="N103" s="25"/>
      <c r="O103" s="43"/>
      <c r="P103" s="43"/>
    </row>
    <row r="104" ht="15.75" customHeight="1">
      <c r="A104" s="23"/>
      <c r="B104" s="23"/>
      <c r="C104" s="23"/>
      <c r="D104" s="23"/>
      <c r="E104" s="23"/>
      <c r="F104" s="23"/>
      <c r="G104" s="23"/>
      <c r="H104" s="54"/>
      <c r="I104" s="23"/>
      <c r="J104" s="23"/>
      <c r="K104" s="23"/>
      <c r="L104" s="24"/>
      <c r="M104" s="24"/>
      <c r="N104" s="23"/>
      <c r="O104" s="45"/>
      <c r="P104" s="45"/>
    </row>
    <row r="105" ht="15.75" customHeight="1">
      <c r="A105" s="25"/>
      <c r="B105" s="25"/>
      <c r="C105" s="25"/>
      <c r="D105" s="25"/>
      <c r="E105" s="25"/>
      <c r="F105" s="25"/>
      <c r="G105" s="25"/>
      <c r="H105" s="55"/>
      <c r="I105" s="25"/>
      <c r="J105" s="25"/>
      <c r="K105" s="25"/>
      <c r="L105" s="26"/>
      <c r="M105" s="26"/>
      <c r="N105" s="25"/>
      <c r="O105" s="43"/>
      <c r="P105" s="43"/>
    </row>
    <row r="106" ht="15.75" customHeight="1">
      <c r="A106" s="23"/>
      <c r="B106" s="23"/>
      <c r="C106" s="23"/>
      <c r="D106" s="23"/>
      <c r="E106" s="23"/>
      <c r="F106" s="23"/>
      <c r="G106" s="23"/>
      <c r="H106" s="54"/>
      <c r="I106" s="23"/>
      <c r="J106" s="23"/>
      <c r="K106" s="23"/>
      <c r="L106" s="24"/>
      <c r="M106" s="24"/>
      <c r="N106" s="23"/>
      <c r="O106" s="45"/>
      <c r="P106" s="45"/>
    </row>
    <row r="107" ht="15.75" customHeight="1">
      <c r="A107" s="25"/>
      <c r="B107" s="25"/>
      <c r="C107" s="25"/>
      <c r="D107" s="25"/>
      <c r="E107" s="25"/>
      <c r="F107" s="25"/>
      <c r="G107" s="25"/>
      <c r="H107" s="55"/>
      <c r="I107" s="25"/>
      <c r="J107" s="25"/>
      <c r="K107" s="25"/>
      <c r="L107" s="26"/>
      <c r="M107" s="26"/>
      <c r="N107" s="25"/>
      <c r="O107" s="43"/>
      <c r="P107" s="43"/>
    </row>
    <row r="108" ht="15.75" customHeight="1">
      <c r="A108" s="23"/>
      <c r="B108" s="23"/>
      <c r="C108" s="23"/>
      <c r="D108" s="23"/>
      <c r="E108" s="23"/>
      <c r="F108" s="23"/>
      <c r="G108" s="23"/>
      <c r="H108" s="54"/>
      <c r="I108" s="23"/>
      <c r="J108" s="23"/>
      <c r="K108" s="23"/>
      <c r="L108" s="24"/>
      <c r="M108" s="24"/>
      <c r="N108" s="23"/>
      <c r="O108" s="45"/>
      <c r="P108" s="45"/>
    </row>
    <row r="109" ht="15.75" customHeight="1">
      <c r="A109" s="25"/>
      <c r="B109" s="25"/>
      <c r="C109" s="25"/>
      <c r="D109" s="25"/>
      <c r="E109" s="25"/>
      <c r="F109" s="25"/>
      <c r="G109" s="25"/>
      <c r="H109" s="55"/>
      <c r="I109" s="25"/>
      <c r="J109" s="25"/>
      <c r="K109" s="25"/>
      <c r="L109" s="26"/>
      <c r="M109" s="26"/>
      <c r="N109" s="25"/>
      <c r="O109" s="43"/>
      <c r="P109" s="43"/>
    </row>
    <row r="110" ht="15.75" customHeight="1">
      <c r="A110" s="23"/>
      <c r="B110" s="23"/>
      <c r="C110" s="23"/>
      <c r="D110" s="23"/>
      <c r="E110" s="23"/>
      <c r="F110" s="23"/>
      <c r="G110" s="23"/>
      <c r="H110" s="54"/>
      <c r="I110" s="23"/>
      <c r="J110" s="23"/>
      <c r="K110" s="23"/>
      <c r="L110" s="24"/>
      <c r="M110" s="24"/>
      <c r="N110" s="23"/>
      <c r="O110" s="45"/>
      <c r="P110" s="45"/>
    </row>
    <row r="111" ht="15.75" customHeight="1">
      <c r="A111" s="25"/>
      <c r="B111" s="25"/>
      <c r="C111" s="25"/>
      <c r="D111" s="25"/>
      <c r="E111" s="25"/>
      <c r="F111" s="25"/>
      <c r="G111" s="25"/>
      <c r="H111" s="55"/>
      <c r="I111" s="25"/>
      <c r="J111" s="25"/>
      <c r="K111" s="25"/>
      <c r="L111" s="26"/>
      <c r="M111" s="26"/>
      <c r="N111" s="25"/>
      <c r="O111" s="43"/>
      <c r="P111" s="43"/>
    </row>
    <row r="112" ht="15.75" customHeight="1">
      <c r="A112" s="23"/>
      <c r="B112" s="23"/>
      <c r="C112" s="23"/>
      <c r="D112" s="23"/>
      <c r="E112" s="23"/>
      <c r="F112" s="23"/>
      <c r="G112" s="23"/>
      <c r="H112" s="54"/>
      <c r="I112" s="23"/>
      <c r="J112" s="23"/>
      <c r="K112" s="23"/>
      <c r="L112" s="24"/>
      <c r="M112" s="24"/>
      <c r="N112" s="23"/>
      <c r="O112" s="45"/>
      <c r="P112" s="45"/>
    </row>
    <row r="113" ht="15.75" customHeight="1">
      <c r="A113" s="25"/>
      <c r="B113" s="25"/>
      <c r="C113" s="25"/>
      <c r="D113" s="25"/>
      <c r="E113" s="25"/>
      <c r="F113" s="25"/>
      <c r="G113" s="25"/>
      <c r="H113" s="55"/>
      <c r="I113" s="25"/>
      <c r="J113" s="25"/>
      <c r="K113" s="25"/>
      <c r="L113" s="26"/>
      <c r="M113" s="26"/>
      <c r="N113" s="25"/>
      <c r="O113" s="43"/>
      <c r="P113" s="43"/>
    </row>
    <row r="114" ht="15.75" customHeight="1">
      <c r="A114" s="23"/>
      <c r="B114" s="23"/>
      <c r="C114" s="23"/>
      <c r="D114" s="23"/>
      <c r="E114" s="23"/>
      <c r="F114" s="23"/>
      <c r="G114" s="23"/>
      <c r="H114" s="54"/>
      <c r="I114" s="23"/>
      <c r="J114" s="23"/>
      <c r="K114" s="23"/>
      <c r="L114" s="24"/>
      <c r="M114" s="24"/>
      <c r="N114" s="23"/>
      <c r="O114" s="45"/>
      <c r="P114" s="45"/>
    </row>
    <row r="115" ht="15.75" customHeight="1">
      <c r="A115" s="25"/>
      <c r="B115" s="25"/>
      <c r="C115" s="25"/>
      <c r="D115" s="25"/>
      <c r="E115" s="25"/>
      <c r="F115" s="25"/>
      <c r="G115" s="25"/>
      <c r="H115" s="55"/>
      <c r="I115" s="25"/>
      <c r="J115" s="25"/>
      <c r="K115" s="25"/>
      <c r="L115" s="26"/>
      <c r="M115" s="26"/>
      <c r="N115" s="25"/>
      <c r="O115" s="43"/>
      <c r="P115" s="43"/>
    </row>
    <row r="116" ht="15.75" customHeight="1">
      <c r="A116" s="23"/>
      <c r="B116" s="23"/>
      <c r="C116" s="23"/>
      <c r="D116" s="23"/>
      <c r="E116" s="23"/>
      <c r="F116" s="23"/>
      <c r="G116" s="23"/>
      <c r="H116" s="54"/>
      <c r="I116" s="23"/>
      <c r="J116" s="23"/>
      <c r="K116" s="23"/>
      <c r="L116" s="24"/>
      <c r="M116" s="24"/>
      <c r="N116" s="23"/>
      <c r="O116" s="45"/>
      <c r="P116" s="45"/>
    </row>
    <row r="117" ht="15.75" customHeight="1">
      <c r="A117" s="25"/>
      <c r="B117" s="25"/>
      <c r="C117" s="25"/>
      <c r="D117" s="25"/>
      <c r="E117" s="25"/>
      <c r="F117" s="25"/>
      <c r="G117" s="25"/>
      <c r="H117" s="55"/>
      <c r="I117" s="25"/>
      <c r="J117" s="25"/>
      <c r="K117" s="25"/>
      <c r="L117" s="26"/>
      <c r="M117" s="26"/>
      <c r="N117" s="25"/>
      <c r="O117" s="43"/>
      <c r="P117" s="43"/>
    </row>
    <row r="118" ht="15.75" customHeight="1">
      <c r="A118" s="23"/>
      <c r="B118" s="23"/>
      <c r="C118" s="23"/>
      <c r="D118" s="23"/>
      <c r="E118" s="23"/>
      <c r="F118" s="23"/>
      <c r="G118" s="23"/>
      <c r="H118" s="54"/>
      <c r="I118" s="23"/>
      <c r="J118" s="23"/>
      <c r="K118" s="23"/>
      <c r="L118" s="24"/>
      <c r="M118" s="24"/>
      <c r="N118" s="23"/>
      <c r="O118" s="45"/>
      <c r="P118" s="45"/>
    </row>
    <row r="119" ht="15.75" customHeight="1">
      <c r="A119" s="25"/>
      <c r="B119" s="25"/>
      <c r="C119" s="25"/>
      <c r="D119" s="25"/>
      <c r="E119" s="25"/>
      <c r="F119" s="25"/>
      <c r="G119" s="25"/>
      <c r="H119" s="55"/>
      <c r="I119" s="25"/>
      <c r="J119" s="25"/>
      <c r="K119" s="25"/>
      <c r="L119" s="26"/>
      <c r="M119" s="26"/>
      <c r="N119" s="25"/>
      <c r="O119" s="43"/>
      <c r="P119" s="43"/>
    </row>
    <row r="120" ht="15.75" customHeight="1">
      <c r="A120" s="23"/>
      <c r="B120" s="23"/>
      <c r="C120" s="23"/>
      <c r="D120" s="23"/>
      <c r="E120" s="23"/>
      <c r="F120" s="23"/>
      <c r="G120" s="23"/>
      <c r="H120" s="54"/>
      <c r="I120" s="23"/>
      <c r="J120" s="23"/>
      <c r="K120" s="23"/>
      <c r="L120" s="24"/>
      <c r="M120" s="24"/>
      <c r="N120" s="23"/>
      <c r="O120" s="45"/>
      <c r="P120" s="45"/>
    </row>
    <row r="121" ht="15.75" customHeight="1">
      <c r="A121" s="25"/>
      <c r="B121" s="25"/>
      <c r="C121" s="25"/>
      <c r="D121" s="25"/>
      <c r="E121" s="25"/>
      <c r="F121" s="25"/>
      <c r="G121" s="25"/>
      <c r="H121" s="55"/>
      <c r="I121" s="25"/>
      <c r="J121" s="25"/>
      <c r="K121" s="25"/>
      <c r="L121" s="26"/>
      <c r="M121" s="26"/>
      <c r="N121" s="25"/>
      <c r="O121" s="43"/>
      <c r="P121" s="43"/>
    </row>
    <row r="122" ht="15.75" customHeight="1">
      <c r="A122" s="23"/>
      <c r="B122" s="23"/>
      <c r="C122" s="23"/>
      <c r="D122" s="23"/>
      <c r="E122" s="23"/>
      <c r="F122" s="23"/>
      <c r="G122" s="23"/>
      <c r="H122" s="54"/>
      <c r="I122" s="23"/>
      <c r="J122" s="23"/>
      <c r="K122" s="23"/>
      <c r="L122" s="24"/>
      <c r="M122" s="24"/>
      <c r="N122" s="23"/>
      <c r="O122" s="45"/>
      <c r="P122" s="45"/>
    </row>
    <row r="123" ht="15.75" customHeight="1">
      <c r="A123" s="25"/>
      <c r="B123" s="25"/>
      <c r="C123" s="25"/>
      <c r="D123" s="25"/>
      <c r="E123" s="25"/>
      <c r="F123" s="25"/>
      <c r="G123" s="25"/>
      <c r="H123" s="55"/>
      <c r="I123" s="25"/>
      <c r="J123" s="25"/>
      <c r="K123" s="25"/>
      <c r="L123" s="26"/>
      <c r="M123" s="26"/>
      <c r="N123" s="25"/>
      <c r="O123" s="43"/>
      <c r="P123" s="43"/>
    </row>
    <row r="124" ht="15.75" customHeight="1">
      <c r="A124" s="23"/>
      <c r="B124" s="23"/>
      <c r="C124" s="23"/>
      <c r="D124" s="23"/>
      <c r="E124" s="23"/>
      <c r="F124" s="23"/>
      <c r="G124" s="23"/>
      <c r="H124" s="54"/>
      <c r="I124" s="23"/>
      <c r="J124" s="23"/>
      <c r="K124" s="23"/>
      <c r="L124" s="24"/>
      <c r="M124" s="24"/>
      <c r="N124" s="23"/>
      <c r="O124" s="45"/>
      <c r="P124" s="45"/>
    </row>
    <row r="125" ht="15.75" customHeight="1">
      <c r="A125" s="25"/>
      <c r="B125" s="25"/>
      <c r="C125" s="25"/>
      <c r="D125" s="25"/>
      <c r="E125" s="25"/>
      <c r="F125" s="25"/>
      <c r="G125" s="25"/>
      <c r="H125" s="55"/>
      <c r="I125" s="25"/>
      <c r="J125" s="25"/>
      <c r="K125" s="25"/>
      <c r="L125" s="26"/>
      <c r="M125" s="26"/>
      <c r="N125" s="25"/>
      <c r="O125" s="43"/>
      <c r="P125" s="43"/>
    </row>
    <row r="126" ht="15.75" customHeight="1">
      <c r="A126" s="23"/>
      <c r="B126" s="23"/>
      <c r="C126" s="23"/>
      <c r="D126" s="23"/>
      <c r="E126" s="23"/>
      <c r="F126" s="23"/>
      <c r="G126" s="23"/>
      <c r="H126" s="54"/>
      <c r="I126" s="23"/>
      <c r="J126" s="23"/>
      <c r="K126" s="23"/>
      <c r="L126" s="24"/>
      <c r="M126" s="24"/>
      <c r="N126" s="23"/>
      <c r="O126" s="45"/>
      <c r="P126" s="45"/>
    </row>
    <row r="127" ht="15.75" customHeight="1">
      <c r="A127" s="25"/>
      <c r="B127" s="25"/>
      <c r="C127" s="25"/>
      <c r="D127" s="25"/>
      <c r="E127" s="25"/>
      <c r="F127" s="25"/>
      <c r="G127" s="25"/>
      <c r="H127" s="55"/>
      <c r="I127" s="25"/>
      <c r="J127" s="25"/>
      <c r="K127" s="25"/>
      <c r="L127" s="26"/>
      <c r="M127" s="26"/>
      <c r="N127" s="25"/>
      <c r="O127" s="43"/>
      <c r="P127" s="43"/>
    </row>
    <row r="128" ht="15.75" customHeight="1">
      <c r="A128" s="23"/>
      <c r="B128" s="23"/>
      <c r="C128" s="23"/>
      <c r="D128" s="23"/>
      <c r="E128" s="23"/>
      <c r="F128" s="23"/>
      <c r="G128" s="23"/>
      <c r="H128" s="54"/>
      <c r="I128" s="23"/>
      <c r="J128" s="23"/>
      <c r="K128" s="23"/>
      <c r="L128" s="24"/>
      <c r="M128" s="24"/>
      <c r="N128" s="23"/>
      <c r="O128" s="45"/>
      <c r="P128" s="45"/>
    </row>
    <row r="129" ht="15.75" customHeight="1">
      <c r="A129" s="25"/>
      <c r="B129" s="25"/>
      <c r="C129" s="25"/>
      <c r="D129" s="25"/>
      <c r="E129" s="25"/>
      <c r="F129" s="25"/>
      <c r="G129" s="25"/>
      <c r="H129" s="55"/>
      <c r="I129" s="25"/>
      <c r="J129" s="25"/>
      <c r="K129" s="25"/>
      <c r="L129" s="26"/>
      <c r="M129" s="26"/>
      <c r="N129" s="25"/>
      <c r="O129" s="43"/>
      <c r="P129" s="43"/>
    </row>
    <row r="130" ht="15.75" customHeight="1">
      <c r="A130" s="23"/>
      <c r="B130" s="23"/>
      <c r="C130" s="23"/>
      <c r="D130" s="23"/>
      <c r="E130" s="23"/>
      <c r="F130" s="23"/>
      <c r="G130" s="23"/>
      <c r="H130" s="54"/>
      <c r="I130" s="23"/>
      <c r="J130" s="23"/>
      <c r="K130" s="23"/>
      <c r="L130" s="24"/>
      <c r="M130" s="24"/>
      <c r="N130" s="23"/>
      <c r="O130" s="45"/>
      <c r="P130" s="45"/>
    </row>
    <row r="131" ht="15.75" customHeight="1">
      <c r="A131" s="25"/>
      <c r="B131" s="25"/>
      <c r="C131" s="25"/>
      <c r="D131" s="25"/>
      <c r="E131" s="25"/>
      <c r="F131" s="25"/>
      <c r="G131" s="25"/>
      <c r="H131" s="55"/>
      <c r="I131" s="25"/>
      <c r="J131" s="25"/>
      <c r="K131" s="25"/>
      <c r="L131" s="26"/>
      <c r="M131" s="26"/>
      <c r="N131" s="25"/>
      <c r="O131" s="43"/>
      <c r="P131" s="43"/>
    </row>
    <row r="132" ht="15.75" customHeight="1">
      <c r="A132" s="23"/>
      <c r="B132" s="23"/>
      <c r="C132" s="23"/>
      <c r="D132" s="23"/>
      <c r="E132" s="23"/>
      <c r="F132" s="23"/>
      <c r="G132" s="23"/>
      <c r="H132" s="54"/>
      <c r="I132" s="23"/>
      <c r="J132" s="23"/>
      <c r="K132" s="23"/>
      <c r="L132" s="24"/>
      <c r="M132" s="24"/>
      <c r="N132" s="23"/>
      <c r="O132" s="45"/>
      <c r="P132" s="45"/>
    </row>
    <row r="133" ht="15.75" customHeight="1">
      <c r="A133" s="25"/>
      <c r="B133" s="25"/>
      <c r="C133" s="25"/>
      <c r="D133" s="25"/>
      <c r="E133" s="25"/>
      <c r="F133" s="25"/>
      <c r="G133" s="25"/>
      <c r="H133" s="55"/>
      <c r="I133" s="25"/>
      <c r="J133" s="25"/>
      <c r="K133" s="25"/>
      <c r="L133" s="26"/>
      <c r="M133" s="26"/>
      <c r="N133" s="25"/>
      <c r="O133" s="43"/>
      <c r="P133" s="43"/>
    </row>
    <row r="134" ht="15.75" customHeight="1">
      <c r="A134" s="23"/>
      <c r="B134" s="23"/>
      <c r="C134" s="23"/>
      <c r="D134" s="23"/>
      <c r="E134" s="23"/>
      <c r="F134" s="23"/>
      <c r="G134" s="23"/>
      <c r="H134" s="54"/>
      <c r="I134" s="23"/>
      <c r="J134" s="23"/>
      <c r="K134" s="23"/>
      <c r="L134" s="24"/>
      <c r="M134" s="24"/>
      <c r="N134" s="23"/>
      <c r="O134" s="45"/>
      <c r="P134" s="45"/>
    </row>
    <row r="135" ht="15.75" customHeight="1">
      <c r="A135" s="25"/>
      <c r="B135" s="25"/>
      <c r="C135" s="25"/>
      <c r="D135" s="25"/>
      <c r="E135" s="25"/>
      <c r="F135" s="25"/>
      <c r="G135" s="25"/>
      <c r="H135" s="55"/>
      <c r="I135" s="25"/>
      <c r="J135" s="25"/>
      <c r="K135" s="25"/>
      <c r="L135" s="26"/>
      <c r="M135" s="26"/>
      <c r="N135" s="25"/>
      <c r="O135" s="43"/>
      <c r="P135" s="43"/>
    </row>
    <row r="136" ht="15.75" customHeight="1">
      <c r="A136" s="23"/>
      <c r="B136" s="23"/>
      <c r="C136" s="23"/>
      <c r="D136" s="23"/>
      <c r="E136" s="23"/>
      <c r="F136" s="23"/>
      <c r="G136" s="23"/>
      <c r="H136" s="54"/>
      <c r="I136" s="23"/>
      <c r="J136" s="23"/>
      <c r="K136" s="23"/>
      <c r="L136" s="24"/>
      <c r="M136" s="24"/>
      <c r="N136" s="23"/>
      <c r="O136" s="45"/>
      <c r="P136" s="45"/>
    </row>
    <row r="137" ht="15.75" customHeight="1">
      <c r="A137" s="25"/>
      <c r="B137" s="25"/>
      <c r="C137" s="25"/>
      <c r="D137" s="25"/>
      <c r="E137" s="25"/>
      <c r="F137" s="25"/>
      <c r="G137" s="25"/>
      <c r="H137" s="55"/>
      <c r="I137" s="25"/>
      <c r="J137" s="25"/>
      <c r="K137" s="25"/>
      <c r="L137" s="26"/>
      <c r="M137" s="26"/>
      <c r="N137" s="25"/>
      <c r="O137" s="43"/>
      <c r="P137" s="43"/>
    </row>
    <row r="138" ht="15.75" customHeight="1">
      <c r="A138" s="23"/>
      <c r="B138" s="23"/>
      <c r="C138" s="23"/>
      <c r="D138" s="23"/>
      <c r="E138" s="23"/>
      <c r="F138" s="23"/>
      <c r="G138" s="23"/>
      <c r="H138" s="54"/>
      <c r="I138" s="23"/>
      <c r="J138" s="23"/>
      <c r="K138" s="23"/>
      <c r="L138" s="24"/>
      <c r="M138" s="24"/>
      <c r="N138" s="23"/>
      <c r="O138" s="45"/>
      <c r="P138" s="45"/>
    </row>
    <row r="139" ht="15.75" customHeight="1">
      <c r="A139" s="25"/>
      <c r="B139" s="25"/>
      <c r="C139" s="25"/>
      <c r="D139" s="25"/>
      <c r="E139" s="25"/>
      <c r="F139" s="25"/>
      <c r="G139" s="25"/>
      <c r="H139" s="55"/>
      <c r="I139" s="25"/>
      <c r="J139" s="25"/>
      <c r="K139" s="25"/>
      <c r="L139" s="26"/>
      <c r="M139" s="26"/>
      <c r="N139" s="25"/>
      <c r="O139" s="43"/>
      <c r="P139" s="43"/>
    </row>
    <row r="140" ht="15.75" customHeight="1">
      <c r="A140" s="23"/>
      <c r="B140" s="23"/>
      <c r="C140" s="23"/>
      <c r="D140" s="23"/>
      <c r="E140" s="23"/>
      <c r="F140" s="23"/>
      <c r="G140" s="23"/>
      <c r="H140" s="54"/>
      <c r="I140" s="23"/>
      <c r="J140" s="23"/>
      <c r="K140" s="23"/>
      <c r="L140" s="24"/>
      <c r="M140" s="24"/>
      <c r="N140" s="23"/>
      <c r="O140" s="45"/>
      <c r="P140" s="45"/>
    </row>
    <row r="141" ht="15.75" customHeight="1">
      <c r="A141" s="25"/>
      <c r="B141" s="25"/>
      <c r="C141" s="25"/>
      <c r="D141" s="25"/>
      <c r="E141" s="25"/>
      <c r="F141" s="25"/>
      <c r="G141" s="25"/>
      <c r="H141" s="55"/>
      <c r="I141" s="25"/>
      <c r="J141" s="25"/>
      <c r="K141" s="25"/>
      <c r="L141" s="26"/>
      <c r="M141" s="26"/>
      <c r="N141" s="25"/>
      <c r="O141" s="43"/>
      <c r="P141" s="43"/>
    </row>
    <row r="142" ht="15.75" customHeight="1">
      <c r="A142" s="23"/>
      <c r="B142" s="23"/>
      <c r="C142" s="23"/>
      <c r="D142" s="23"/>
      <c r="E142" s="23"/>
      <c r="F142" s="23"/>
      <c r="G142" s="23"/>
      <c r="H142" s="54"/>
      <c r="I142" s="23"/>
      <c r="J142" s="23"/>
      <c r="K142" s="23"/>
      <c r="L142" s="24"/>
      <c r="M142" s="24"/>
      <c r="N142" s="23"/>
      <c r="O142" s="45"/>
      <c r="P142" s="45"/>
    </row>
    <row r="143" ht="15.75" customHeight="1">
      <c r="A143" s="25"/>
      <c r="B143" s="25"/>
      <c r="C143" s="25"/>
      <c r="D143" s="25"/>
      <c r="E143" s="25"/>
      <c r="F143" s="25"/>
      <c r="G143" s="25"/>
      <c r="H143" s="55"/>
      <c r="I143" s="25"/>
      <c r="J143" s="25"/>
      <c r="K143" s="25"/>
      <c r="L143" s="26"/>
      <c r="M143" s="26"/>
      <c r="N143" s="25"/>
      <c r="O143" s="43"/>
      <c r="P143" s="43"/>
    </row>
    <row r="144" ht="15.75" customHeight="1">
      <c r="A144" s="23"/>
      <c r="B144" s="23"/>
      <c r="C144" s="23"/>
      <c r="D144" s="23"/>
      <c r="E144" s="23"/>
      <c r="F144" s="23"/>
      <c r="G144" s="23"/>
      <c r="H144" s="54"/>
      <c r="I144" s="23"/>
      <c r="J144" s="23"/>
      <c r="K144" s="23"/>
      <c r="L144" s="24"/>
      <c r="M144" s="24"/>
      <c r="N144" s="23"/>
      <c r="O144" s="45"/>
      <c r="P144" s="45"/>
    </row>
    <row r="145" ht="15.75" customHeight="1">
      <c r="A145" s="25"/>
      <c r="B145" s="25"/>
      <c r="C145" s="25"/>
      <c r="D145" s="25"/>
      <c r="E145" s="25"/>
      <c r="F145" s="25"/>
      <c r="G145" s="25"/>
      <c r="H145" s="55"/>
      <c r="I145" s="25"/>
      <c r="J145" s="25"/>
      <c r="K145" s="25"/>
      <c r="L145" s="26"/>
      <c r="M145" s="26"/>
      <c r="N145" s="25"/>
      <c r="O145" s="43"/>
      <c r="P145" s="43"/>
    </row>
    <row r="146" ht="15.75" customHeight="1">
      <c r="A146" s="23"/>
      <c r="B146" s="23"/>
      <c r="C146" s="23"/>
      <c r="D146" s="23"/>
      <c r="E146" s="23"/>
      <c r="F146" s="23"/>
      <c r="G146" s="23"/>
      <c r="H146" s="54"/>
      <c r="I146" s="23"/>
      <c r="J146" s="23"/>
      <c r="K146" s="23"/>
      <c r="L146" s="24"/>
      <c r="M146" s="24"/>
      <c r="N146" s="23"/>
      <c r="O146" s="45"/>
      <c r="P146" s="45"/>
    </row>
    <row r="147" ht="15.75" customHeight="1">
      <c r="A147" s="25"/>
      <c r="B147" s="25"/>
      <c r="C147" s="25"/>
      <c r="D147" s="25"/>
      <c r="E147" s="25"/>
      <c r="F147" s="25"/>
      <c r="G147" s="25"/>
      <c r="H147" s="55"/>
      <c r="I147" s="25"/>
      <c r="J147" s="25"/>
      <c r="K147" s="25"/>
      <c r="L147" s="26"/>
      <c r="M147" s="26"/>
      <c r="N147" s="25"/>
      <c r="O147" s="43"/>
      <c r="P147" s="43"/>
    </row>
    <row r="148" ht="15.75" customHeight="1">
      <c r="A148" s="23"/>
      <c r="B148" s="23"/>
      <c r="C148" s="23"/>
      <c r="D148" s="23"/>
      <c r="E148" s="23"/>
      <c r="F148" s="23"/>
      <c r="G148" s="23"/>
      <c r="H148" s="54"/>
      <c r="I148" s="23"/>
      <c r="J148" s="23"/>
      <c r="K148" s="23"/>
      <c r="L148" s="24"/>
      <c r="M148" s="24"/>
      <c r="N148" s="23"/>
      <c r="O148" s="45"/>
      <c r="P148" s="45"/>
    </row>
    <row r="149" ht="15.75" customHeight="1">
      <c r="A149" s="25"/>
      <c r="B149" s="25"/>
      <c r="C149" s="25"/>
      <c r="D149" s="25"/>
      <c r="E149" s="25"/>
      <c r="F149" s="25"/>
      <c r="G149" s="25"/>
      <c r="H149" s="55"/>
      <c r="I149" s="25"/>
      <c r="J149" s="25"/>
      <c r="K149" s="25"/>
      <c r="L149" s="26"/>
      <c r="M149" s="26"/>
      <c r="N149" s="25"/>
      <c r="O149" s="43"/>
      <c r="P149" s="43"/>
    </row>
    <row r="150" ht="15.75" customHeight="1">
      <c r="A150" s="23"/>
      <c r="B150" s="23"/>
      <c r="C150" s="23"/>
      <c r="D150" s="23"/>
      <c r="E150" s="23"/>
      <c r="F150" s="23"/>
      <c r="G150" s="23"/>
      <c r="H150" s="54"/>
      <c r="I150" s="23"/>
      <c r="J150" s="23"/>
      <c r="K150" s="23"/>
      <c r="L150" s="24"/>
      <c r="M150" s="24"/>
      <c r="N150" s="23"/>
      <c r="O150" s="45"/>
      <c r="P150" s="45"/>
    </row>
    <row r="151" ht="15.75" customHeight="1">
      <c r="A151" s="25"/>
      <c r="B151" s="25"/>
      <c r="C151" s="25"/>
      <c r="D151" s="25"/>
      <c r="E151" s="25"/>
      <c r="F151" s="25"/>
      <c r="G151" s="25"/>
      <c r="H151" s="55"/>
      <c r="I151" s="25"/>
      <c r="J151" s="25"/>
      <c r="K151" s="25"/>
      <c r="L151" s="26"/>
      <c r="M151" s="26"/>
      <c r="N151" s="25"/>
      <c r="O151" s="43"/>
      <c r="P151" s="43"/>
    </row>
    <row r="152" ht="15.75" customHeight="1">
      <c r="A152" s="23"/>
      <c r="B152" s="23"/>
      <c r="C152" s="23"/>
      <c r="D152" s="23"/>
      <c r="E152" s="23"/>
      <c r="F152" s="23"/>
      <c r="G152" s="23"/>
      <c r="H152" s="54"/>
      <c r="I152" s="23"/>
      <c r="J152" s="23"/>
      <c r="K152" s="23"/>
      <c r="L152" s="24"/>
      <c r="M152" s="24"/>
      <c r="N152" s="23"/>
      <c r="O152" s="45"/>
      <c r="P152" s="45"/>
    </row>
    <row r="153" ht="15.75" customHeight="1">
      <c r="A153" s="25"/>
      <c r="B153" s="25"/>
      <c r="C153" s="25"/>
      <c r="D153" s="25"/>
      <c r="E153" s="25"/>
      <c r="F153" s="25"/>
      <c r="G153" s="25"/>
      <c r="H153" s="55"/>
      <c r="I153" s="25"/>
      <c r="J153" s="25"/>
      <c r="K153" s="25"/>
      <c r="L153" s="26"/>
      <c r="M153" s="26"/>
      <c r="N153" s="25"/>
      <c r="O153" s="43"/>
      <c r="P153" s="43"/>
    </row>
    <row r="154" ht="15.75" customHeight="1">
      <c r="A154" s="23"/>
      <c r="B154" s="23"/>
      <c r="C154" s="23"/>
      <c r="D154" s="23"/>
      <c r="E154" s="23"/>
      <c r="F154" s="23"/>
      <c r="G154" s="23"/>
      <c r="H154" s="54"/>
      <c r="I154" s="23"/>
      <c r="J154" s="23"/>
      <c r="K154" s="23"/>
      <c r="L154" s="24"/>
      <c r="M154" s="24"/>
      <c r="N154" s="23"/>
      <c r="O154" s="45"/>
      <c r="P154" s="45"/>
    </row>
    <row r="155" ht="15.75" customHeight="1">
      <c r="A155" s="25"/>
      <c r="B155" s="25"/>
      <c r="C155" s="25"/>
      <c r="D155" s="25"/>
      <c r="E155" s="25"/>
      <c r="F155" s="25"/>
      <c r="G155" s="25"/>
      <c r="H155" s="55"/>
      <c r="I155" s="25"/>
      <c r="J155" s="25"/>
      <c r="K155" s="25"/>
      <c r="L155" s="26"/>
      <c r="M155" s="26"/>
      <c r="N155" s="25"/>
      <c r="O155" s="43"/>
      <c r="P155" s="43"/>
    </row>
    <row r="156" ht="15.75" customHeight="1">
      <c r="A156" s="23"/>
      <c r="B156" s="23"/>
      <c r="C156" s="23"/>
      <c r="D156" s="23"/>
      <c r="E156" s="23"/>
      <c r="F156" s="23"/>
      <c r="G156" s="23"/>
      <c r="H156" s="54"/>
      <c r="I156" s="23"/>
      <c r="J156" s="23"/>
      <c r="K156" s="23"/>
      <c r="L156" s="24"/>
      <c r="M156" s="24"/>
      <c r="N156" s="23"/>
      <c r="O156" s="45"/>
      <c r="P156" s="45"/>
    </row>
    <row r="157" ht="15.75" customHeight="1">
      <c r="A157" s="25"/>
      <c r="B157" s="25"/>
      <c r="C157" s="25"/>
      <c r="D157" s="25"/>
      <c r="E157" s="25"/>
      <c r="F157" s="25"/>
      <c r="G157" s="25"/>
      <c r="H157" s="55"/>
      <c r="I157" s="25"/>
      <c r="J157" s="25"/>
      <c r="K157" s="25"/>
      <c r="L157" s="26"/>
      <c r="M157" s="26"/>
      <c r="N157" s="25"/>
      <c r="O157" s="43"/>
      <c r="P157" s="43"/>
    </row>
    <row r="158" ht="15.75" customHeight="1">
      <c r="A158" s="23"/>
      <c r="B158" s="23"/>
      <c r="C158" s="23"/>
      <c r="D158" s="23"/>
      <c r="E158" s="23"/>
      <c r="F158" s="23"/>
      <c r="G158" s="23"/>
      <c r="H158" s="54"/>
      <c r="I158" s="23"/>
      <c r="J158" s="23"/>
      <c r="K158" s="23"/>
      <c r="L158" s="24"/>
      <c r="M158" s="24"/>
      <c r="N158" s="23"/>
      <c r="O158" s="45"/>
      <c r="P158" s="45"/>
    </row>
    <row r="159" ht="15.75" customHeight="1">
      <c r="A159" s="25"/>
      <c r="B159" s="25"/>
      <c r="C159" s="25"/>
      <c r="D159" s="25"/>
      <c r="E159" s="25"/>
      <c r="F159" s="25"/>
      <c r="G159" s="25"/>
      <c r="H159" s="55"/>
      <c r="I159" s="25"/>
      <c r="J159" s="25"/>
      <c r="K159" s="25"/>
      <c r="L159" s="26"/>
      <c r="M159" s="26"/>
      <c r="N159" s="25"/>
      <c r="O159" s="43"/>
      <c r="P159" s="43"/>
    </row>
    <row r="160" ht="15.75" customHeight="1">
      <c r="A160" s="23"/>
      <c r="B160" s="23"/>
      <c r="C160" s="23"/>
      <c r="D160" s="23"/>
      <c r="E160" s="23"/>
      <c r="F160" s="23"/>
      <c r="G160" s="23"/>
      <c r="H160" s="54"/>
      <c r="I160" s="23"/>
      <c r="J160" s="23"/>
      <c r="K160" s="23"/>
      <c r="L160" s="24"/>
      <c r="M160" s="24"/>
      <c r="N160" s="23"/>
      <c r="O160" s="45"/>
      <c r="P160" s="45"/>
    </row>
    <row r="161" ht="15.75" customHeight="1">
      <c r="A161" s="25"/>
      <c r="B161" s="25"/>
      <c r="C161" s="25"/>
      <c r="D161" s="25"/>
      <c r="E161" s="25"/>
      <c r="F161" s="25"/>
      <c r="G161" s="25"/>
      <c r="H161" s="55"/>
      <c r="I161" s="25"/>
      <c r="J161" s="25"/>
      <c r="K161" s="25"/>
      <c r="L161" s="26"/>
      <c r="M161" s="26"/>
      <c r="N161" s="25"/>
      <c r="O161" s="43"/>
      <c r="P161" s="43"/>
    </row>
    <row r="162" ht="15.75" customHeight="1">
      <c r="A162" s="23"/>
      <c r="B162" s="23"/>
      <c r="C162" s="23"/>
      <c r="D162" s="23"/>
      <c r="E162" s="23"/>
      <c r="F162" s="23"/>
      <c r="G162" s="23"/>
      <c r="H162" s="54"/>
      <c r="I162" s="23"/>
      <c r="J162" s="23"/>
      <c r="K162" s="23"/>
      <c r="L162" s="24"/>
      <c r="M162" s="24"/>
      <c r="N162" s="23"/>
      <c r="O162" s="45"/>
      <c r="P162" s="45"/>
    </row>
    <row r="163" ht="15.75" customHeight="1">
      <c r="A163" s="25"/>
      <c r="B163" s="25"/>
      <c r="C163" s="25"/>
      <c r="D163" s="25"/>
      <c r="E163" s="25"/>
      <c r="F163" s="25"/>
      <c r="G163" s="25"/>
      <c r="H163" s="55"/>
      <c r="I163" s="25"/>
      <c r="J163" s="25"/>
      <c r="K163" s="25"/>
      <c r="L163" s="26"/>
      <c r="M163" s="26"/>
      <c r="N163" s="25"/>
      <c r="O163" s="43"/>
      <c r="P163" s="43"/>
    </row>
    <row r="164" ht="15.75" customHeight="1">
      <c r="A164" s="23"/>
      <c r="B164" s="23"/>
      <c r="C164" s="23"/>
      <c r="D164" s="23"/>
      <c r="E164" s="23"/>
      <c r="F164" s="23"/>
      <c r="G164" s="23"/>
      <c r="H164" s="54"/>
      <c r="I164" s="23"/>
      <c r="J164" s="23"/>
      <c r="K164" s="23"/>
      <c r="L164" s="24"/>
      <c r="M164" s="24"/>
      <c r="N164" s="23"/>
      <c r="O164" s="45"/>
      <c r="P164" s="45"/>
    </row>
    <row r="165" ht="15.75" customHeight="1">
      <c r="A165" s="25"/>
      <c r="B165" s="25"/>
      <c r="C165" s="25"/>
      <c r="D165" s="25"/>
      <c r="E165" s="25"/>
      <c r="F165" s="25"/>
      <c r="G165" s="25"/>
      <c r="H165" s="55"/>
      <c r="I165" s="25"/>
      <c r="J165" s="25"/>
      <c r="K165" s="25"/>
      <c r="L165" s="26"/>
      <c r="M165" s="26"/>
      <c r="N165" s="25"/>
      <c r="O165" s="43"/>
      <c r="P165" s="43"/>
    </row>
    <row r="166" ht="15.75" customHeight="1">
      <c r="A166" s="23"/>
      <c r="B166" s="23"/>
      <c r="C166" s="23"/>
      <c r="D166" s="23"/>
      <c r="E166" s="23"/>
      <c r="F166" s="23"/>
      <c r="G166" s="23"/>
      <c r="H166" s="54"/>
      <c r="I166" s="23"/>
      <c r="J166" s="23"/>
      <c r="K166" s="23"/>
      <c r="L166" s="24"/>
      <c r="M166" s="24"/>
      <c r="N166" s="23"/>
      <c r="O166" s="45"/>
      <c r="P166" s="45"/>
    </row>
    <row r="167" ht="15.75" customHeight="1">
      <c r="A167" s="25"/>
      <c r="B167" s="25"/>
      <c r="C167" s="25"/>
      <c r="D167" s="25"/>
      <c r="E167" s="25"/>
      <c r="F167" s="25"/>
      <c r="G167" s="25"/>
      <c r="H167" s="55"/>
      <c r="I167" s="25"/>
      <c r="J167" s="25"/>
      <c r="K167" s="25"/>
      <c r="L167" s="26"/>
      <c r="M167" s="26"/>
      <c r="N167" s="25"/>
      <c r="O167" s="43"/>
      <c r="P167" s="43"/>
    </row>
    <row r="168" ht="15.75" customHeight="1">
      <c r="A168" s="23"/>
      <c r="B168" s="23"/>
      <c r="C168" s="23"/>
      <c r="D168" s="23"/>
      <c r="E168" s="23"/>
      <c r="F168" s="23"/>
      <c r="G168" s="23"/>
      <c r="H168" s="54"/>
      <c r="I168" s="23"/>
      <c r="J168" s="23"/>
      <c r="K168" s="23"/>
      <c r="L168" s="24"/>
      <c r="M168" s="24"/>
      <c r="N168" s="23"/>
      <c r="O168" s="45"/>
      <c r="P168" s="45"/>
    </row>
    <row r="169" ht="15.75" customHeight="1">
      <c r="A169" s="25"/>
      <c r="B169" s="25"/>
      <c r="C169" s="25"/>
      <c r="D169" s="25"/>
      <c r="E169" s="25"/>
      <c r="F169" s="25"/>
      <c r="G169" s="25"/>
      <c r="H169" s="55"/>
      <c r="I169" s="25"/>
      <c r="J169" s="25"/>
      <c r="K169" s="25"/>
      <c r="L169" s="26"/>
      <c r="M169" s="26"/>
      <c r="N169" s="25"/>
      <c r="O169" s="43"/>
      <c r="P169" s="43"/>
    </row>
    <row r="170" ht="15.75" customHeight="1">
      <c r="A170" s="23"/>
      <c r="B170" s="23"/>
      <c r="C170" s="23"/>
      <c r="D170" s="23"/>
      <c r="E170" s="23"/>
      <c r="F170" s="23"/>
      <c r="G170" s="23"/>
      <c r="H170" s="54"/>
      <c r="I170" s="23"/>
      <c r="J170" s="23"/>
      <c r="K170" s="23"/>
      <c r="L170" s="24"/>
      <c r="M170" s="24"/>
      <c r="N170" s="23"/>
      <c r="O170" s="45"/>
      <c r="P170" s="45"/>
    </row>
    <row r="171" ht="15.75" customHeight="1">
      <c r="A171" s="25"/>
      <c r="B171" s="25"/>
      <c r="C171" s="25"/>
      <c r="D171" s="25"/>
      <c r="E171" s="25"/>
      <c r="F171" s="25"/>
      <c r="G171" s="25"/>
      <c r="H171" s="55"/>
      <c r="I171" s="25"/>
      <c r="J171" s="25"/>
      <c r="K171" s="25"/>
      <c r="L171" s="26"/>
      <c r="M171" s="26"/>
      <c r="N171" s="25"/>
      <c r="O171" s="43"/>
      <c r="P171" s="43"/>
    </row>
    <row r="172" ht="15.75" customHeight="1">
      <c r="A172" s="23"/>
      <c r="B172" s="23"/>
      <c r="C172" s="23"/>
      <c r="D172" s="23"/>
      <c r="E172" s="23"/>
      <c r="F172" s="23"/>
      <c r="G172" s="23"/>
      <c r="H172" s="54"/>
      <c r="I172" s="23"/>
      <c r="J172" s="23"/>
      <c r="K172" s="23"/>
      <c r="L172" s="24"/>
      <c r="M172" s="24"/>
      <c r="N172" s="23"/>
      <c r="O172" s="45"/>
      <c r="P172" s="45"/>
    </row>
    <row r="173" ht="15.75" customHeight="1">
      <c r="A173" s="25"/>
      <c r="B173" s="25"/>
      <c r="C173" s="25"/>
      <c r="D173" s="25"/>
      <c r="E173" s="25"/>
      <c r="F173" s="25"/>
      <c r="G173" s="25"/>
      <c r="H173" s="55"/>
      <c r="I173" s="25"/>
      <c r="J173" s="25"/>
      <c r="K173" s="25"/>
      <c r="L173" s="26"/>
      <c r="M173" s="26"/>
      <c r="N173" s="25"/>
      <c r="O173" s="43"/>
      <c r="P173" s="43"/>
    </row>
    <row r="174" ht="15.75" customHeight="1">
      <c r="A174" s="23"/>
      <c r="B174" s="23"/>
      <c r="C174" s="23"/>
      <c r="D174" s="23"/>
      <c r="E174" s="23"/>
      <c r="F174" s="23"/>
      <c r="G174" s="23"/>
      <c r="H174" s="54"/>
      <c r="I174" s="23"/>
      <c r="J174" s="23"/>
      <c r="K174" s="23"/>
      <c r="L174" s="24"/>
      <c r="M174" s="24"/>
      <c r="N174" s="23"/>
      <c r="O174" s="45"/>
      <c r="P174" s="45"/>
    </row>
    <row r="175" ht="15.75" customHeight="1">
      <c r="A175" s="25"/>
      <c r="B175" s="25"/>
      <c r="C175" s="25"/>
      <c r="D175" s="25"/>
      <c r="E175" s="25"/>
      <c r="F175" s="25"/>
      <c r="G175" s="25"/>
      <c r="H175" s="55"/>
      <c r="I175" s="25"/>
      <c r="J175" s="25"/>
      <c r="K175" s="25"/>
      <c r="L175" s="26"/>
      <c r="M175" s="26"/>
      <c r="N175" s="25"/>
      <c r="O175" s="43"/>
      <c r="P175" s="43"/>
    </row>
    <row r="176" ht="15.75" customHeight="1">
      <c r="A176" s="23"/>
      <c r="B176" s="23"/>
      <c r="C176" s="23"/>
      <c r="D176" s="23"/>
      <c r="E176" s="23"/>
      <c r="F176" s="23"/>
      <c r="G176" s="23"/>
      <c r="H176" s="54"/>
      <c r="I176" s="23"/>
      <c r="J176" s="23"/>
      <c r="K176" s="23"/>
      <c r="L176" s="24"/>
      <c r="M176" s="24"/>
      <c r="N176" s="23"/>
      <c r="O176" s="45"/>
      <c r="P176" s="45"/>
    </row>
    <row r="177" ht="15.75" customHeight="1">
      <c r="A177" s="25"/>
      <c r="B177" s="25"/>
      <c r="C177" s="25"/>
      <c r="D177" s="25"/>
      <c r="E177" s="25"/>
      <c r="F177" s="25"/>
      <c r="G177" s="25"/>
      <c r="H177" s="55"/>
      <c r="I177" s="25"/>
      <c r="J177" s="25"/>
      <c r="K177" s="25"/>
      <c r="L177" s="26"/>
      <c r="M177" s="26"/>
      <c r="N177" s="25"/>
      <c r="O177" s="43"/>
      <c r="P177" s="43"/>
    </row>
    <row r="178" ht="15.75" customHeight="1">
      <c r="A178" s="23"/>
      <c r="B178" s="23"/>
      <c r="C178" s="23"/>
      <c r="D178" s="23"/>
      <c r="E178" s="23"/>
      <c r="F178" s="23"/>
      <c r="G178" s="23"/>
      <c r="H178" s="54"/>
      <c r="I178" s="23"/>
      <c r="J178" s="23"/>
      <c r="K178" s="23"/>
      <c r="L178" s="24"/>
      <c r="M178" s="24"/>
      <c r="N178" s="23"/>
      <c r="O178" s="45"/>
      <c r="P178" s="45"/>
    </row>
    <row r="179" ht="15.75" customHeight="1">
      <c r="A179" s="25"/>
      <c r="B179" s="25"/>
      <c r="C179" s="25"/>
      <c r="D179" s="25"/>
      <c r="E179" s="25"/>
      <c r="F179" s="25"/>
      <c r="G179" s="25"/>
      <c r="H179" s="55"/>
      <c r="I179" s="25"/>
      <c r="J179" s="25"/>
      <c r="K179" s="25"/>
      <c r="L179" s="26"/>
      <c r="M179" s="26"/>
      <c r="N179" s="25"/>
      <c r="O179" s="43"/>
      <c r="P179" s="43"/>
    </row>
    <row r="180" ht="15.75" customHeight="1">
      <c r="A180" s="23"/>
      <c r="B180" s="23"/>
      <c r="C180" s="23"/>
      <c r="D180" s="23"/>
      <c r="E180" s="23"/>
      <c r="F180" s="23"/>
      <c r="G180" s="23"/>
      <c r="H180" s="54"/>
      <c r="I180" s="23"/>
      <c r="J180" s="23"/>
      <c r="K180" s="23"/>
      <c r="L180" s="24"/>
      <c r="M180" s="24"/>
      <c r="N180" s="23"/>
      <c r="O180" s="45"/>
      <c r="P180" s="45"/>
    </row>
    <row r="181" ht="15.75" customHeight="1">
      <c r="A181" s="25"/>
      <c r="B181" s="25"/>
      <c r="C181" s="25"/>
      <c r="D181" s="25"/>
      <c r="E181" s="25"/>
      <c r="F181" s="25"/>
      <c r="G181" s="25"/>
      <c r="H181" s="55"/>
      <c r="I181" s="25"/>
      <c r="J181" s="25"/>
      <c r="K181" s="25"/>
      <c r="L181" s="26"/>
      <c r="M181" s="26"/>
      <c r="N181" s="25"/>
      <c r="O181" s="43"/>
      <c r="P181" s="43"/>
    </row>
    <row r="182" ht="15.75" customHeight="1">
      <c r="A182" s="23"/>
      <c r="B182" s="23"/>
      <c r="C182" s="23"/>
      <c r="D182" s="23"/>
      <c r="E182" s="23"/>
      <c r="F182" s="23"/>
      <c r="G182" s="23"/>
      <c r="H182" s="54"/>
      <c r="I182" s="23"/>
      <c r="J182" s="23"/>
      <c r="K182" s="23"/>
      <c r="L182" s="24"/>
      <c r="M182" s="24"/>
      <c r="N182" s="23"/>
      <c r="O182" s="45"/>
      <c r="P182" s="45"/>
    </row>
    <row r="183" ht="15.75" customHeight="1">
      <c r="A183" s="25"/>
      <c r="B183" s="25"/>
      <c r="C183" s="25"/>
      <c r="D183" s="25"/>
      <c r="E183" s="25"/>
      <c r="F183" s="25"/>
      <c r="G183" s="25"/>
      <c r="H183" s="55"/>
      <c r="I183" s="25"/>
      <c r="J183" s="25"/>
      <c r="K183" s="25"/>
      <c r="L183" s="26"/>
      <c r="M183" s="26"/>
      <c r="N183" s="25"/>
      <c r="O183" s="43"/>
      <c r="P183" s="43"/>
    </row>
    <row r="184" ht="15.75" customHeight="1">
      <c r="A184" s="23"/>
      <c r="B184" s="23"/>
      <c r="C184" s="23"/>
      <c r="D184" s="23"/>
      <c r="E184" s="23"/>
      <c r="F184" s="23"/>
      <c r="G184" s="23"/>
      <c r="H184" s="54"/>
      <c r="I184" s="23"/>
      <c r="J184" s="23"/>
      <c r="K184" s="23"/>
      <c r="L184" s="24"/>
      <c r="M184" s="24"/>
      <c r="N184" s="23"/>
      <c r="O184" s="45"/>
      <c r="P184" s="45"/>
    </row>
    <row r="185" ht="15.75" customHeight="1">
      <c r="A185" s="25"/>
      <c r="B185" s="25"/>
      <c r="C185" s="25"/>
      <c r="D185" s="25"/>
      <c r="E185" s="25"/>
      <c r="F185" s="25"/>
      <c r="G185" s="25"/>
      <c r="H185" s="55"/>
      <c r="I185" s="25"/>
      <c r="J185" s="25"/>
      <c r="K185" s="25"/>
      <c r="L185" s="26"/>
      <c r="M185" s="26"/>
      <c r="N185" s="25"/>
      <c r="O185" s="43"/>
      <c r="P185" s="43"/>
    </row>
    <row r="186" ht="15.75" customHeight="1">
      <c r="A186" s="23"/>
      <c r="B186" s="23"/>
      <c r="C186" s="23"/>
      <c r="D186" s="23"/>
      <c r="E186" s="23"/>
      <c r="F186" s="23"/>
      <c r="G186" s="23"/>
      <c r="H186" s="54"/>
      <c r="I186" s="23"/>
      <c r="J186" s="23"/>
      <c r="K186" s="23"/>
      <c r="L186" s="24"/>
      <c r="M186" s="24"/>
      <c r="N186" s="23"/>
      <c r="O186" s="45"/>
      <c r="P186" s="45"/>
    </row>
    <row r="187" ht="15.75" customHeight="1">
      <c r="A187" s="25"/>
      <c r="B187" s="25"/>
      <c r="C187" s="25"/>
      <c r="D187" s="25"/>
      <c r="E187" s="25"/>
      <c r="F187" s="25"/>
      <c r="G187" s="25"/>
      <c r="H187" s="55"/>
      <c r="I187" s="25"/>
      <c r="J187" s="25"/>
      <c r="K187" s="25"/>
      <c r="L187" s="26"/>
      <c r="M187" s="26"/>
      <c r="N187" s="25"/>
      <c r="O187" s="43"/>
      <c r="P187" s="43"/>
    </row>
    <row r="188" ht="15.75" customHeight="1">
      <c r="A188" s="23"/>
      <c r="B188" s="23"/>
      <c r="C188" s="23"/>
      <c r="D188" s="23"/>
      <c r="E188" s="23"/>
      <c r="F188" s="23"/>
      <c r="G188" s="23"/>
      <c r="H188" s="54"/>
      <c r="I188" s="23"/>
      <c r="J188" s="23"/>
      <c r="K188" s="23"/>
      <c r="L188" s="24"/>
      <c r="M188" s="24"/>
      <c r="N188" s="23"/>
      <c r="O188" s="45"/>
      <c r="P188" s="45"/>
    </row>
    <row r="189" ht="15.75" customHeight="1">
      <c r="A189" s="25"/>
      <c r="B189" s="25"/>
      <c r="C189" s="25"/>
      <c r="D189" s="25"/>
      <c r="E189" s="25"/>
      <c r="F189" s="25"/>
      <c r="G189" s="25"/>
      <c r="H189" s="55"/>
      <c r="I189" s="25"/>
      <c r="J189" s="25"/>
      <c r="K189" s="25"/>
      <c r="L189" s="26"/>
      <c r="M189" s="26"/>
      <c r="N189" s="25"/>
      <c r="O189" s="43"/>
      <c r="P189" s="43"/>
    </row>
    <row r="190" ht="15.75" customHeight="1">
      <c r="A190" s="23"/>
      <c r="B190" s="23"/>
      <c r="C190" s="23"/>
      <c r="D190" s="23"/>
      <c r="E190" s="23"/>
      <c r="F190" s="23"/>
      <c r="G190" s="23"/>
      <c r="H190" s="54"/>
      <c r="I190" s="23"/>
      <c r="J190" s="23"/>
      <c r="K190" s="23"/>
      <c r="L190" s="24"/>
      <c r="M190" s="24"/>
      <c r="N190" s="23"/>
      <c r="O190" s="45"/>
      <c r="P190" s="45"/>
    </row>
    <row r="191" ht="15.75" customHeight="1">
      <c r="A191" s="25"/>
      <c r="B191" s="25"/>
      <c r="C191" s="25"/>
      <c r="D191" s="25"/>
      <c r="E191" s="25"/>
      <c r="F191" s="25"/>
      <c r="G191" s="25"/>
      <c r="H191" s="55"/>
      <c r="I191" s="25"/>
      <c r="J191" s="25"/>
      <c r="K191" s="25"/>
      <c r="L191" s="26"/>
      <c r="M191" s="26"/>
      <c r="N191" s="25"/>
      <c r="O191" s="43"/>
      <c r="P191" s="43"/>
    </row>
    <row r="192" ht="15.75" customHeight="1">
      <c r="A192" s="23"/>
      <c r="B192" s="23"/>
      <c r="C192" s="23"/>
      <c r="D192" s="23"/>
      <c r="E192" s="23"/>
      <c r="F192" s="23"/>
      <c r="G192" s="23"/>
      <c r="H192" s="54"/>
      <c r="I192" s="23"/>
      <c r="J192" s="23"/>
      <c r="K192" s="23"/>
      <c r="L192" s="24"/>
      <c r="M192" s="24"/>
      <c r="N192" s="23"/>
      <c r="O192" s="45"/>
      <c r="P192" s="45"/>
    </row>
    <row r="193" ht="15.75" customHeight="1">
      <c r="A193" s="25"/>
      <c r="B193" s="25"/>
      <c r="C193" s="25"/>
      <c r="D193" s="25"/>
      <c r="E193" s="25"/>
      <c r="F193" s="25"/>
      <c r="G193" s="25"/>
      <c r="H193" s="55"/>
      <c r="I193" s="25"/>
      <c r="J193" s="25"/>
      <c r="K193" s="25"/>
      <c r="L193" s="26"/>
      <c r="M193" s="26"/>
      <c r="N193" s="25"/>
      <c r="O193" s="43"/>
      <c r="P193" s="43"/>
    </row>
    <row r="194" ht="15.75" customHeight="1">
      <c r="A194" s="23"/>
      <c r="B194" s="23"/>
      <c r="C194" s="23"/>
      <c r="D194" s="23"/>
      <c r="E194" s="23"/>
      <c r="F194" s="23"/>
      <c r="G194" s="23"/>
      <c r="H194" s="54"/>
      <c r="I194" s="23"/>
      <c r="J194" s="23"/>
      <c r="K194" s="23"/>
      <c r="L194" s="24"/>
      <c r="M194" s="24"/>
      <c r="N194" s="23"/>
      <c r="O194" s="45"/>
      <c r="P194" s="45"/>
    </row>
    <row r="195" ht="15.75" customHeight="1">
      <c r="A195" s="25"/>
      <c r="B195" s="25"/>
      <c r="C195" s="25"/>
      <c r="D195" s="25"/>
      <c r="E195" s="25"/>
      <c r="F195" s="25"/>
      <c r="G195" s="25"/>
      <c r="H195" s="55"/>
      <c r="I195" s="25"/>
      <c r="J195" s="25"/>
      <c r="K195" s="25"/>
      <c r="L195" s="26"/>
      <c r="M195" s="26"/>
      <c r="N195" s="25"/>
      <c r="O195" s="43"/>
      <c r="P195" s="43"/>
    </row>
    <row r="196" ht="15.75" customHeight="1">
      <c r="A196" s="23"/>
      <c r="B196" s="23"/>
      <c r="C196" s="23"/>
      <c r="D196" s="23"/>
      <c r="E196" s="23"/>
      <c r="F196" s="23"/>
      <c r="G196" s="23"/>
      <c r="H196" s="54"/>
      <c r="I196" s="23"/>
      <c r="J196" s="23"/>
      <c r="K196" s="23"/>
      <c r="L196" s="24"/>
      <c r="M196" s="24"/>
      <c r="N196" s="23"/>
      <c r="O196" s="45"/>
      <c r="P196" s="45"/>
    </row>
    <row r="197" ht="15.75" customHeight="1">
      <c r="A197" s="25"/>
      <c r="B197" s="25"/>
      <c r="C197" s="25"/>
      <c r="D197" s="25"/>
      <c r="E197" s="25"/>
      <c r="F197" s="25"/>
      <c r="G197" s="25"/>
      <c r="H197" s="55"/>
      <c r="I197" s="25"/>
      <c r="J197" s="25"/>
      <c r="K197" s="25"/>
      <c r="L197" s="26"/>
      <c r="M197" s="26"/>
      <c r="N197" s="25"/>
      <c r="O197" s="43"/>
      <c r="P197" s="43"/>
    </row>
    <row r="198" ht="15.75" customHeight="1">
      <c r="A198" s="23"/>
      <c r="B198" s="23"/>
      <c r="C198" s="23"/>
      <c r="D198" s="23"/>
      <c r="E198" s="23"/>
      <c r="F198" s="23"/>
      <c r="G198" s="23"/>
      <c r="H198" s="54"/>
      <c r="I198" s="23"/>
      <c r="J198" s="23"/>
      <c r="K198" s="23"/>
      <c r="L198" s="24"/>
      <c r="M198" s="24"/>
      <c r="N198" s="23"/>
      <c r="O198" s="45"/>
      <c r="P198" s="45"/>
    </row>
    <row r="199" ht="15.75" customHeight="1">
      <c r="A199" s="25"/>
      <c r="B199" s="25"/>
      <c r="C199" s="25"/>
      <c r="D199" s="25"/>
      <c r="E199" s="25"/>
      <c r="F199" s="25"/>
      <c r="G199" s="25"/>
      <c r="H199" s="55"/>
      <c r="I199" s="25"/>
      <c r="J199" s="25"/>
      <c r="K199" s="25"/>
      <c r="L199" s="26"/>
      <c r="M199" s="26"/>
      <c r="N199" s="25"/>
      <c r="O199" s="43"/>
      <c r="P199" s="43"/>
    </row>
    <row r="200" ht="15.75" customHeight="1">
      <c r="A200" s="23"/>
      <c r="B200" s="23"/>
      <c r="C200" s="23"/>
      <c r="D200" s="23"/>
      <c r="E200" s="23"/>
      <c r="F200" s="23"/>
      <c r="G200" s="23"/>
      <c r="H200" s="54"/>
      <c r="I200" s="23"/>
      <c r="J200" s="23"/>
      <c r="K200" s="23"/>
      <c r="L200" s="24"/>
      <c r="M200" s="24"/>
      <c r="N200" s="23"/>
      <c r="O200" s="45"/>
      <c r="P200" s="45"/>
    </row>
    <row r="201" ht="15.75" customHeight="1">
      <c r="A201" s="25"/>
      <c r="B201" s="25"/>
      <c r="C201" s="25"/>
      <c r="D201" s="25"/>
      <c r="E201" s="25"/>
      <c r="F201" s="25"/>
      <c r="G201" s="25"/>
      <c r="H201" s="55"/>
      <c r="I201" s="25"/>
      <c r="J201" s="25"/>
      <c r="K201" s="25"/>
      <c r="L201" s="26"/>
      <c r="M201" s="26"/>
      <c r="N201" s="25"/>
      <c r="O201" s="43"/>
      <c r="P201" s="43"/>
    </row>
    <row r="202" ht="15.75" customHeight="1">
      <c r="A202" s="23"/>
      <c r="B202" s="23"/>
      <c r="C202" s="23"/>
      <c r="D202" s="23"/>
      <c r="E202" s="23"/>
      <c r="F202" s="23"/>
      <c r="G202" s="23"/>
      <c r="H202" s="54"/>
      <c r="I202" s="23"/>
      <c r="J202" s="23"/>
      <c r="K202" s="23"/>
      <c r="L202" s="24"/>
      <c r="M202" s="24"/>
      <c r="N202" s="23"/>
      <c r="O202" s="45"/>
      <c r="P202" s="45"/>
    </row>
    <row r="203" ht="15.75" customHeight="1">
      <c r="A203" s="25"/>
      <c r="B203" s="25"/>
      <c r="C203" s="25"/>
      <c r="D203" s="25"/>
      <c r="E203" s="25"/>
      <c r="F203" s="25"/>
      <c r="G203" s="25"/>
      <c r="H203" s="55"/>
      <c r="I203" s="25"/>
      <c r="J203" s="25"/>
      <c r="K203" s="25"/>
      <c r="L203" s="26"/>
      <c r="M203" s="26"/>
      <c r="N203" s="25"/>
      <c r="O203" s="43"/>
      <c r="P203" s="43"/>
    </row>
    <row r="204" ht="15.75" customHeight="1">
      <c r="A204" s="23"/>
      <c r="B204" s="23"/>
      <c r="C204" s="23"/>
      <c r="D204" s="23"/>
      <c r="E204" s="23"/>
      <c r="F204" s="23"/>
      <c r="G204" s="23"/>
      <c r="H204" s="54"/>
      <c r="I204" s="23"/>
      <c r="J204" s="23"/>
      <c r="K204" s="23"/>
      <c r="L204" s="24"/>
      <c r="M204" s="24"/>
      <c r="N204" s="23"/>
      <c r="O204" s="45"/>
      <c r="P204" s="45"/>
    </row>
    <row r="205" ht="15.75" customHeight="1">
      <c r="A205" s="25"/>
      <c r="B205" s="25"/>
      <c r="C205" s="25"/>
      <c r="D205" s="25"/>
      <c r="E205" s="25"/>
      <c r="F205" s="25"/>
      <c r="G205" s="25"/>
      <c r="H205" s="55"/>
      <c r="I205" s="25"/>
      <c r="J205" s="25"/>
      <c r="K205" s="25"/>
      <c r="L205" s="26"/>
      <c r="M205" s="26"/>
      <c r="N205" s="25"/>
      <c r="O205" s="43"/>
      <c r="P205" s="43"/>
    </row>
    <row r="206" ht="15.75" customHeight="1">
      <c r="A206" s="23"/>
      <c r="B206" s="23"/>
      <c r="C206" s="23"/>
      <c r="D206" s="23"/>
      <c r="E206" s="23"/>
      <c r="F206" s="23"/>
      <c r="G206" s="23"/>
      <c r="H206" s="54"/>
      <c r="I206" s="23"/>
      <c r="J206" s="23"/>
      <c r="K206" s="23"/>
      <c r="L206" s="24"/>
      <c r="M206" s="24"/>
      <c r="N206" s="23"/>
      <c r="O206" s="45"/>
      <c r="P206" s="45"/>
    </row>
    <row r="207" ht="15.75" customHeight="1">
      <c r="A207" s="25"/>
      <c r="B207" s="25"/>
      <c r="C207" s="25"/>
      <c r="D207" s="25"/>
      <c r="E207" s="25"/>
      <c r="F207" s="25"/>
      <c r="G207" s="25"/>
      <c r="H207" s="55"/>
      <c r="I207" s="25"/>
      <c r="J207" s="25"/>
      <c r="K207" s="25"/>
      <c r="L207" s="26"/>
      <c r="M207" s="26"/>
      <c r="N207" s="25"/>
      <c r="O207" s="43"/>
      <c r="P207" s="43"/>
    </row>
    <row r="208" ht="15.75" customHeight="1">
      <c r="A208" s="23"/>
      <c r="B208" s="23"/>
      <c r="C208" s="23"/>
      <c r="D208" s="23"/>
      <c r="E208" s="23"/>
      <c r="F208" s="23"/>
      <c r="G208" s="23"/>
      <c r="H208" s="54"/>
      <c r="I208" s="23"/>
      <c r="J208" s="23"/>
      <c r="K208" s="23"/>
      <c r="L208" s="24"/>
      <c r="M208" s="24"/>
      <c r="N208" s="23"/>
      <c r="O208" s="45"/>
      <c r="P208" s="45"/>
    </row>
    <row r="209" ht="15.75" customHeight="1">
      <c r="A209" s="25"/>
      <c r="B209" s="25"/>
      <c r="C209" s="25"/>
      <c r="D209" s="25"/>
      <c r="E209" s="25"/>
      <c r="F209" s="25"/>
      <c r="G209" s="25"/>
      <c r="H209" s="55"/>
      <c r="I209" s="25"/>
      <c r="J209" s="25"/>
      <c r="K209" s="25"/>
      <c r="L209" s="26"/>
      <c r="M209" s="26"/>
      <c r="N209" s="25"/>
      <c r="O209" s="43"/>
      <c r="P209" s="43"/>
    </row>
    <row r="210" ht="15.75" customHeight="1">
      <c r="A210" s="23"/>
      <c r="B210" s="23"/>
      <c r="C210" s="23"/>
      <c r="D210" s="23"/>
      <c r="E210" s="23"/>
      <c r="F210" s="23"/>
      <c r="G210" s="23"/>
      <c r="H210" s="54"/>
      <c r="I210" s="23"/>
      <c r="J210" s="23"/>
      <c r="K210" s="23"/>
      <c r="L210" s="24"/>
      <c r="M210" s="24"/>
      <c r="N210" s="23"/>
      <c r="O210" s="45"/>
      <c r="P210" s="45"/>
    </row>
    <row r="211" ht="15.75" customHeight="1">
      <c r="A211" s="25"/>
      <c r="B211" s="25"/>
      <c r="C211" s="25"/>
      <c r="D211" s="25"/>
      <c r="E211" s="25"/>
      <c r="F211" s="25"/>
      <c r="G211" s="25"/>
      <c r="H211" s="55"/>
      <c r="I211" s="25"/>
      <c r="J211" s="25"/>
      <c r="K211" s="25"/>
      <c r="L211" s="26"/>
      <c r="M211" s="26"/>
      <c r="N211" s="25"/>
      <c r="O211" s="43"/>
      <c r="P211" s="43"/>
    </row>
    <row r="212" ht="15.75" customHeight="1">
      <c r="A212" s="23"/>
      <c r="B212" s="23"/>
      <c r="C212" s="23"/>
      <c r="D212" s="23"/>
      <c r="E212" s="23"/>
      <c r="F212" s="23"/>
      <c r="G212" s="23"/>
      <c r="H212" s="54"/>
      <c r="I212" s="23"/>
      <c r="J212" s="23"/>
      <c r="K212" s="23"/>
      <c r="L212" s="24"/>
      <c r="M212" s="24"/>
      <c r="N212" s="23"/>
      <c r="O212" s="45"/>
      <c r="P212" s="45"/>
    </row>
    <row r="213" ht="15.75" customHeight="1">
      <c r="A213" s="25"/>
      <c r="B213" s="25"/>
      <c r="C213" s="25"/>
      <c r="D213" s="25"/>
      <c r="E213" s="25"/>
      <c r="F213" s="25"/>
      <c r="G213" s="25"/>
      <c r="H213" s="55"/>
      <c r="I213" s="25"/>
      <c r="J213" s="25"/>
      <c r="K213" s="25"/>
      <c r="L213" s="26"/>
      <c r="M213" s="26"/>
      <c r="N213" s="25"/>
      <c r="O213" s="43"/>
      <c r="P213" s="43"/>
    </row>
    <row r="214" ht="15.75" customHeight="1">
      <c r="A214" s="23"/>
      <c r="B214" s="23"/>
      <c r="C214" s="23"/>
      <c r="D214" s="23"/>
      <c r="E214" s="23"/>
      <c r="F214" s="23"/>
      <c r="G214" s="23"/>
      <c r="H214" s="54"/>
      <c r="I214" s="23"/>
      <c r="J214" s="23"/>
      <c r="K214" s="23"/>
      <c r="L214" s="24"/>
      <c r="M214" s="24"/>
      <c r="N214" s="23"/>
      <c r="O214" s="45"/>
      <c r="P214" s="45"/>
    </row>
    <row r="215" ht="15.75" customHeight="1">
      <c r="A215" s="25"/>
      <c r="B215" s="25"/>
      <c r="C215" s="25"/>
      <c r="D215" s="25"/>
      <c r="E215" s="25"/>
      <c r="F215" s="25"/>
      <c r="G215" s="25"/>
      <c r="H215" s="55"/>
      <c r="I215" s="25"/>
      <c r="J215" s="25"/>
      <c r="K215" s="25"/>
      <c r="L215" s="26"/>
      <c r="M215" s="26"/>
      <c r="N215" s="25"/>
      <c r="O215" s="43"/>
      <c r="P215" s="43"/>
    </row>
    <row r="216" ht="15.75" customHeight="1">
      <c r="A216" s="23"/>
      <c r="B216" s="23"/>
      <c r="C216" s="23"/>
      <c r="D216" s="23"/>
      <c r="E216" s="23"/>
      <c r="F216" s="23"/>
      <c r="G216" s="23"/>
      <c r="H216" s="54"/>
      <c r="I216" s="23"/>
      <c r="J216" s="23"/>
      <c r="K216" s="23"/>
      <c r="L216" s="24"/>
      <c r="M216" s="24"/>
      <c r="N216" s="23"/>
      <c r="O216" s="45"/>
      <c r="P216" s="45"/>
    </row>
    <row r="217" ht="15.75" customHeight="1">
      <c r="D217" s="47"/>
      <c r="G217" s="47"/>
    </row>
    <row r="218" ht="15.75" customHeight="1">
      <c r="D218" s="47"/>
      <c r="G218" s="47"/>
    </row>
    <row r="219" ht="15.75" customHeight="1">
      <c r="D219" s="47"/>
      <c r="G219" s="47"/>
    </row>
    <row r="220" ht="15.75" customHeight="1">
      <c r="D220" s="47"/>
      <c r="G220" s="47"/>
    </row>
    <row r="221" ht="15.75" customHeight="1">
      <c r="D221" s="47"/>
      <c r="G221" s="47"/>
    </row>
    <row r="222" ht="15.75" customHeight="1">
      <c r="D222" s="47"/>
      <c r="G222" s="47"/>
    </row>
    <row r="223" ht="15.75" customHeight="1">
      <c r="D223" s="47"/>
      <c r="G223" s="47"/>
    </row>
    <row r="224" ht="15.75" customHeight="1">
      <c r="D224" s="47"/>
      <c r="G224" s="47"/>
    </row>
    <row r="225" ht="15.75" customHeight="1">
      <c r="D225" s="47"/>
      <c r="G225" s="47"/>
    </row>
    <row r="226" ht="15.75" customHeight="1">
      <c r="D226" s="47"/>
      <c r="G226" s="47"/>
    </row>
    <row r="227" ht="15.75" customHeight="1">
      <c r="D227" s="47"/>
      <c r="G227" s="47"/>
    </row>
    <row r="228" ht="15.75" customHeight="1">
      <c r="D228" s="47"/>
      <c r="G228" s="47"/>
    </row>
    <row r="229" ht="15.75" customHeight="1">
      <c r="D229" s="47"/>
      <c r="G229" s="47"/>
    </row>
    <row r="230" ht="15.75" customHeight="1">
      <c r="D230" s="47"/>
      <c r="G230" s="47"/>
    </row>
    <row r="231" ht="15.75" customHeight="1">
      <c r="D231" s="47"/>
      <c r="G231" s="47"/>
    </row>
    <row r="232" ht="15.75" customHeight="1">
      <c r="D232" s="47"/>
      <c r="G232" s="47"/>
    </row>
    <row r="233" ht="15.75" customHeight="1">
      <c r="D233" s="47"/>
      <c r="G233" s="47"/>
    </row>
    <row r="234" ht="15.75" customHeight="1">
      <c r="D234" s="47"/>
      <c r="G234" s="47"/>
    </row>
    <row r="235" ht="15.75" customHeight="1">
      <c r="D235" s="47"/>
      <c r="G235" s="47"/>
    </row>
    <row r="236" ht="15.75" customHeight="1">
      <c r="D236" s="47"/>
      <c r="G236" s="47"/>
    </row>
    <row r="237" ht="15.75" customHeight="1">
      <c r="D237" s="47"/>
      <c r="G237" s="47"/>
    </row>
    <row r="238" ht="15.75" customHeight="1">
      <c r="D238" s="47"/>
      <c r="G238" s="47"/>
    </row>
    <row r="239" ht="15.75" customHeight="1">
      <c r="D239" s="47"/>
      <c r="G239" s="47"/>
    </row>
    <row r="240" ht="15.75" customHeight="1">
      <c r="D240" s="47"/>
      <c r="G240" s="47"/>
    </row>
    <row r="241" ht="15.75" customHeight="1">
      <c r="D241" s="47"/>
      <c r="G241" s="47"/>
    </row>
    <row r="242" ht="15.75" customHeight="1">
      <c r="D242" s="47"/>
      <c r="G242" s="47"/>
    </row>
    <row r="243" ht="15.75" customHeight="1">
      <c r="D243" s="47"/>
      <c r="G243" s="47"/>
    </row>
    <row r="244" ht="15.75" customHeight="1">
      <c r="D244" s="47"/>
      <c r="G244" s="47"/>
    </row>
    <row r="245" ht="15.75" customHeight="1">
      <c r="D245" s="47"/>
      <c r="G245" s="47"/>
    </row>
    <row r="246" ht="15.75" customHeight="1">
      <c r="D246" s="47"/>
      <c r="G246" s="47"/>
    </row>
    <row r="247" ht="15.75" customHeight="1">
      <c r="D247" s="47"/>
      <c r="G247" s="47"/>
    </row>
    <row r="248" ht="15.75" customHeight="1">
      <c r="D248" s="47"/>
      <c r="G248" s="47"/>
    </row>
    <row r="249" ht="15.75" customHeight="1">
      <c r="D249" s="47"/>
      <c r="G249" s="47"/>
    </row>
    <row r="250" ht="15.75" customHeight="1">
      <c r="D250" s="47"/>
      <c r="G250" s="47"/>
    </row>
    <row r="251" ht="15.75" customHeight="1">
      <c r="D251" s="47"/>
      <c r="G251" s="47"/>
    </row>
    <row r="252" ht="15.75" customHeight="1">
      <c r="D252" s="47"/>
      <c r="G252" s="47"/>
    </row>
    <row r="253" ht="15.75" customHeight="1">
      <c r="D253" s="47"/>
      <c r="G253" s="47"/>
    </row>
    <row r="254" ht="15.75" customHeight="1">
      <c r="D254" s="47"/>
      <c r="G254" s="47"/>
    </row>
    <row r="255" ht="15.75" customHeight="1">
      <c r="D255" s="47"/>
      <c r="G255" s="47"/>
    </row>
    <row r="256" ht="15.75" customHeight="1">
      <c r="D256" s="47"/>
      <c r="G256" s="47"/>
    </row>
    <row r="257" ht="15.75" customHeight="1">
      <c r="D257" s="47"/>
      <c r="G257" s="47"/>
    </row>
    <row r="258" ht="15.75" customHeight="1">
      <c r="D258" s="47"/>
      <c r="G258" s="47"/>
    </row>
    <row r="259" ht="15.75" customHeight="1">
      <c r="D259" s="47"/>
      <c r="G259" s="47"/>
    </row>
    <row r="260" ht="15.75" customHeight="1">
      <c r="D260" s="47"/>
      <c r="G260" s="47"/>
    </row>
    <row r="261" ht="15.75" customHeight="1">
      <c r="D261" s="47"/>
      <c r="G261" s="47"/>
    </row>
    <row r="262" ht="15.75" customHeight="1">
      <c r="D262" s="47"/>
      <c r="G262" s="47"/>
    </row>
    <row r="263" ht="15.75" customHeight="1">
      <c r="D263" s="47"/>
      <c r="G263" s="47"/>
    </row>
    <row r="264" ht="15.75" customHeight="1">
      <c r="D264" s="47"/>
      <c r="G264" s="47"/>
    </row>
    <row r="265" ht="15.75" customHeight="1">
      <c r="D265" s="47"/>
      <c r="G265" s="47"/>
    </row>
    <row r="266" ht="15.75" customHeight="1">
      <c r="D266" s="47"/>
      <c r="G266" s="47"/>
    </row>
    <row r="267" ht="15.75" customHeight="1">
      <c r="D267" s="47"/>
      <c r="G267" s="47"/>
    </row>
    <row r="268" ht="15.75" customHeight="1">
      <c r="D268" s="47"/>
      <c r="G268" s="47"/>
    </row>
    <row r="269" ht="15.75" customHeight="1">
      <c r="D269" s="47"/>
      <c r="G269" s="47"/>
    </row>
    <row r="270" ht="15.75" customHeight="1">
      <c r="D270" s="47"/>
      <c r="G270" s="47"/>
    </row>
    <row r="271" ht="15.75" customHeight="1">
      <c r="D271" s="47"/>
      <c r="G271" s="47"/>
    </row>
    <row r="272" ht="15.75" customHeight="1">
      <c r="D272" s="47"/>
      <c r="G272" s="47"/>
    </row>
    <row r="273" ht="15.75" customHeight="1">
      <c r="D273" s="47"/>
      <c r="G273" s="47"/>
    </row>
    <row r="274" ht="15.75" customHeight="1">
      <c r="D274" s="47"/>
      <c r="G274" s="47"/>
    </row>
    <row r="275" ht="15.75" customHeight="1">
      <c r="D275" s="47"/>
      <c r="G275" s="47"/>
    </row>
    <row r="276" ht="15.75" customHeight="1">
      <c r="D276" s="47"/>
      <c r="G276" s="47"/>
    </row>
    <row r="277" ht="15.75" customHeight="1">
      <c r="D277" s="47"/>
      <c r="G277" s="47"/>
    </row>
    <row r="278" ht="15.75" customHeight="1">
      <c r="D278" s="47"/>
      <c r="G278" s="47"/>
    </row>
    <row r="279" ht="15.75" customHeight="1">
      <c r="D279" s="47"/>
      <c r="G279" s="47"/>
    </row>
    <row r="280" ht="15.75" customHeight="1">
      <c r="D280" s="47"/>
      <c r="G280" s="47"/>
    </row>
    <row r="281" ht="15.75" customHeight="1">
      <c r="D281" s="47"/>
      <c r="G281" s="47"/>
    </row>
    <row r="282" ht="15.75" customHeight="1">
      <c r="D282" s="47"/>
      <c r="G282" s="47"/>
    </row>
    <row r="283" ht="15.75" customHeight="1">
      <c r="D283" s="47"/>
      <c r="G283" s="47"/>
    </row>
    <row r="284" ht="15.75" customHeight="1">
      <c r="D284" s="47"/>
      <c r="G284" s="47"/>
    </row>
    <row r="285" ht="15.75" customHeight="1">
      <c r="D285" s="47"/>
      <c r="G285" s="47"/>
    </row>
    <row r="286" ht="15.75" customHeight="1">
      <c r="D286" s="47"/>
      <c r="G286" s="47"/>
    </row>
    <row r="287" ht="15.75" customHeight="1">
      <c r="D287" s="47"/>
      <c r="G287" s="47"/>
    </row>
    <row r="288" ht="15.75" customHeight="1">
      <c r="D288" s="47"/>
      <c r="G288" s="47"/>
    </row>
    <row r="289" ht="15.75" customHeight="1">
      <c r="D289" s="47"/>
      <c r="G289" s="47"/>
    </row>
    <row r="290" ht="15.75" customHeight="1">
      <c r="D290" s="47"/>
      <c r="G290" s="47"/>
    </row>
    <row r="291" ht="15.75" customHeight="1">
      <c r="D291" s="47"/>
      <c r="G291" s="47"/>
    </row>
    <row r="292" ht="15.75" customHeight="1">
      <c r="D292" s="47"/>
      <c r="G292" s="47"/>
    </row>
    <row r="293" ht="15.75" customHeight="1">
      <c r="D293" s="47"/>
      <c r="G293" s="47"/>
    </row>
    <row r="294" ht="15.75" customHeight="1">
      <c r="D294" s="47"/>
      <c r="G294" s="47"/>
    </row>
    <row r="295" ht="15.75" customHeight="1">
      <c r="D295" s="47"/>
      <c r="G295" s="47"/>
    </row>
    <row r="296" ht="15.75" customHeight="1">
      <c r="D296" s="47"/>
      <c r="G296" s="47"/>
    </row>
    <row r="297" ht="15.75" customHeight="1">
      <c r="D297" s="47"/>
      <c r="G297" s="47"/>
    </row>
    <row r="298" ht="15.75" customHeight="1">
      <c r="D298" s="47"/>
      <c r="G298" s="47"/>
    </row>
    <row r="299" ht="15.75" customHeight="1">
      <c r="D299" s="47"/>
      <c r="G299" s="47"/>
    </row>
    <row r="300" ht="15.75" customHeight="1">
      <c r="D300" s="47"/>
      <c r="G300" s="47"/>
    </row>
    <row r="301" ht="15.75" customHeight="1">
      <c r="D301" s="47"/>
      <c r="G301" s="47"/>
    </row>
    <row r="302" ht="15.75" customHeight="1">
      <c r="D302" s="47"/>
      <c r="G302" s="47"/>
    </row>
    <row r="303" ht="15.75" customHeight="1">
      <c r="D303" s="47"/>
      <c r="G303" s="47"/>
    </row>
    <row r="304" ht="15.75" customHeight="1">
      <c r="D304" s="47"/>
      <c r="G304" s="47"/>
    </row>
    <row r="305" ht="15.75" customHeight="1">
      <c r="D305" s="47"/>
      <c r="G305" s="47"/>
    </row>
    <row r="306" ht="15.75" customHeight="1">
      <c r="D306" s="47"/>
      <c r="G306" s="47"/>
    </row>
    <row r="307" ht="15.75" customHeight="1">
      <c r="D307" s="47"/>
      <c r="G307" s="47"/>
    </row>
    <row r="308" ht="15.75" customHeight="1">
      <c r="D308" s="47"/>
      <c r="G308" s="47"/>
    </row>
    <row r="309" ht="15.75" customHeight="1">
      <c r="D309" s="47"/>
      <c r="G309" s="47"/>
    </row>
    <row r="310" ht="15.75" customHeight="1">
      <c r="D310" s="47"/>
      <c r="G310" s="47"/>
    </row>
    <row r="311" ht="15.75" customHeight="1">
      <c r="D311" s="47"/>
      <c r="G311" s="47"/>
    </row>
    <row r="312" ht="15.75" customHeight="1">
      <c r="D312" s="47"/>
      <c r="G312" s="47"/>
    </row>
    <row r="313" ht="15.75" customHeight="1">
      <c r="D313" s="47"/>
      <c r="G313" s="47"/>
    </row>
    <row r="314" ht="15.75" customHeight="1">
      <c r="D314" s="47"/>
      <c r="G314" s="47"/>
    </row>
    <row r="315" ht="15.75" customHeight="1">
      <c r="D315" s="47"/>
      <c r="G315" s="47"/>
    </row>
    <row r="316" ht="15.75" customHeight="1">
      <c r="D316" s="47"/>
      <c r="G316" s="47"/>
    </row>
    <row r="317" ht="15.75" customHeight="1">
      <c r="D317" s="47"/>
      <c r="G317" s="47"/>
    </row>
    <row r="318" ht="15.75" customHeight="1">
      <c r="D318" s="47"/>
      <c r="G318" s="47"/>
    </row>
    <row r="319" ht="15.75" customHeight="1">
      <c r="D319" s="47"/>
      <c r="G319" s="47"/>
    </row>
    <row r="320" ht="15.75" customHeight="1">
      <c r="D320" s="47"/>
      <c r="G320" s="47"/>
    </row>
    <row r="321" ht="15.75" customHeight="1">
      <c r="D321" s="47"/>
      <c r="G321" s="47"/>
    </row>
    <row r="322" ht="15.75" customHeight="1">
      <c r="D322" s="47"/>
      <c r="G322" s="47"/>
    </row>
    <row r="323" ht="15.75" customHeight="1">
      <c r="D323" s="47"/>
      <c r="G323" s="47"/>
    </row>
    <row r="324" ht="15.75" customHeight="1">
      <c r="D324" s="47"/>
      <c r="G324" s="47"/>
    </row>
    <row r="325" ht="15.75" customHeight="1">
      <c r="D325" s="47"/>
      <c r="G325" s="47"/>
    </row>
    <row r="326" ht="15.75" customHeight="1">
      <c r="D326" s="47"/>
      <c r="G326" s="47"/>
    </row>
    <row r="327" ht="15.75" customHeight="1">
      <c r="D327" s="47"/>
      <c r="G327" s="47"/>
    </row>
    <row r="328" ht="15.75" customHeight="1">
      <c r="D328" s="47"/>
      <c r="G328" s="47"/>
    </row>
    <row r="329" ht="15.75" customHeight="1">
      <c r="D329" s="47"/>
      <c r="G329" s="47"/>
    </row>
    <row r="330" ht="15.75" customHeight="1">
      <c r="D330" s="47"/>
      <c r="G330" s="47"/>
    </row>
    <row r="331" ht="15.75" customHeight="1">
      <c r="D331" s="47"/>
      <c r="G331" s="47"/>
    </row>
    <row r="332" ht="15.75" customHeight="1">
      <c r="D332" s="47"/>
      <c r="G332" s="47"/>
    </row>
    <row r="333" ht="15.75" customHeight="1">
      <c r="D333" s="47"/>
      <c r="G333" s="47"/>
    </row>
    <row r="334" ht="15.75" customHeight="1">
      <c r="D334" s="47"/>
      <c r="G334" s="47"/>
    </row>
    <row r="335" ht="15.75" customHeight="1">
      <c r="D335" s="47"/>
      <c r="G335" s="47"/>
    </row>
    <row r="336" ht="15.75" customHeight="1">
      <c r="D336" s="47"/>
      <c r="G336" s="47"/>
    </row>
    <row r="337" ht="15.75" customHeight="1">
      <c r="D337" s="47"/>
      <c r="G337" s="47"/>
    </row>
    <row r="338" ht="15.75" customHeight="1">
      <c r="D338" s="47"/>
      <c r="G338" s="47"/>
    </row>
    <row r="339" ht="15.75" customHeight="1">
      <c r="D339" s="47"/>
      <c r="G339" s="47"/>
    </row>
    <row r="340" ht="15.75" customHeight="1">
      <c r="D340" s="47"/>
      <c r="G340" s="47"/>
    </row>
    <row r="341" ht="15.75" customHeight="1">
      <c r="D341" s="47"/>
      <c r="G341" s="47"/>
    </row>
    <row r="342" ht="15.75" customHeight="1">
      <c r="D342" s="47"/>
      <c r="G342" s="47"/>
    </row>
    <row r="343" ht="15.75" customHeight="1">
      <c r="D343" s="47"/>
      <c r="G343" s="47"/>
    </row>
    <row r="344" ht="15.75" customHeight="1">
      <c r="D344" s="47"/>
      <c r="G344" s="47"/>
    </row>
    <row r="345" ht="15.75" customHeight="1">
      <c r="D345" s="47"/>
      <c r="G345" s="47"/>
    </row>
    <row r="346" ht="15.75" customHeight="1">
      <c r="D346" s="47"/>
      <c r="G346" s="47"/>
    </row>
    <row r="347" ht="15.75" customHeight="1">
      <c r="D347" s="47"/>
      <c r="G347" s="47"/>
    </row>
    <row r="348" ht="15.75" customHeight="1">
      <c r="D348" s="47"/>
      <c r="G348" s="47"/>
    </row>
    <row r="349" ht="15.75" customHeight="1">
      <c r="D349" s="47"/>
      <c r="G349" s="47"/>
    </row>
    <row r="350" ht="15.75" customHeight="1">
      <c r="D350" s="47"/>
      <c r="G350" s="47"/>
    </row>
    <row r="351" ht="15.75" customHeight="1">
      <c r="D351" s="47"/>
      <c r="G351" s="47"/>
    </row>
    <row r="352" ht="15.75" customHeight="1">
      <c r="D352" s="47"/>
      <c r="G352" s="47"/>
    </row>
    <row r="353" ht="15.75" customHeight="1">
      <c r="D353" s="47"/>
      <c r="G353" s="47"/>
    </row>
    <row r="354" ht="15.75" customHeight="1">
      <c r="D354" s="47"/>
      <c r="G354" s="47"/>
    </row>
    <row r="355" ht="15.75" customHeight="1">
      <c r="D355" s="47"/>
      <c r="G355" s="47"/>
    </row>
    <row r="356" ht="15.75" customHeight="1">
      <c r="D356" s="47"/>
      <c r="G356" s="47"/>
    </row>
    <row r="357" ht="15.75" customHeight="1">
      <c r="D357" s="47"/>
      <c r="G357" s="47"/>
    </row>
    <row r="358" ht="15.75" customHeight="1">
      <c r="D358" s="47"/>
      <c r="G358" s="47"/>
    </row>
    <row r="359" ht="15.75" customHeight="1">
      <c r="D359" s="47"/>
      <c r="G359" s="47"/>
    </row>
    <row r="360" ht="15.75" customHeight="1">
      <c r="D360" s="47"/>
      <c r="G360" s="47"/>
    </row>
    <row r="361" ht="15.75" customHeight="1">
      <c r="D361" s="47"/>
      <c r="G361" s="47"/>
    </row>
    <row r="362" ht="15.75" customHeight="1">
      <c r="D362" s="47"/>
      <c r="G362" s="47"/>
    </row>
    <row r="363" ht="15.75" customHeight="1">
      <c r="D363" s="47"/>
      <c r="G363" s="47"/>
    </row>
    <row r="364" ht="15.75" customHeight="1">
      <c r="D364" s="47"/>
      <c r="G364" s="47"/>
    </row>
    <row r="365" ht="15.75" customHeight="1">
      <c r="D365" s="47"/>
      <c r="G365" s="47"/>
    </row>
    <row r="366" ht="15.75" customHeight="1">
      <c r="D366" s="47"/>
      <c r="G366" s="47"/>
    </row>
    <row r="367" ht="15.75" customHeight="1">
      <c r="D367" s="47"/>
      <c r="G367" s="47"/>
    </row>
    <row r="368" ht="15.75" customHeight="1">
      <c r="D368" s="47"/>
      <c r="G368" s="47"/>
    </row>
    <row r="369" ht="15.75" customHeight="1">
      <c r="D369" s="47"/>
      <c r="G369" s="47"/>
    </row>
    <row r="370" ht="15.75" customHeight="1">
      <c r="D370" s="47"/>
      <c r="G370" s="47"/>
    </row>
    <row r="371" ht="15.75" customHeight="1">
      <c r="D371" s="47"/>
      <c r="G371" s="47"/>
    </row>
    <row r="372" ht="15.75" customHeight="1">
      <c r="D372" s="47"/>
      <c r="G372" s="47"/>
    </row>
    <row r="373" ht="15.75" customHeight="1">
      <c r="D373" s="47"/>
      <c r="G373" s="47"/>
    </row>
    <row r="374" ht="15.75" customHeight="1">
      <c r="D374" s="47"/>
      <c r="G374" s="47"/>
    </row>
    <row r="375" ht="15.75" customHeight="1">
      <c r="D375" s="47"/>
      <c r="G375" s="47"/>
    </row>
    <row r="376" ht="15.75" customHeight="1">
      <c r="D376" s="47"/>
      <c r="G376" s="47"/>
    </row>
    <row r="377" ht="15.75" customHeight="1">
      <c r="D377" s="47"/>
      <c r="G377" s="47"/>
    </row>
    <row r="378" ht="15.75" customHeight="1">
      <c r="D378" s="47"/>
      <c r="G378" s="47"/>
    </row>
    <row r="379" ht="15.75" customHeight="1">
      <c r="D379" s="47"/>
      <c r="G379" s="47"/>
    </row>
    <row r="380" ht="15.75" customHeight="1">
      <c r="D380" s="47"/>
      <c r="G380" s="47"/>
    </row>
    <row r="381" ht="15.75" customHeight="1">
      <c r="D381" s="47"/>
      <c r="G381" s="47"/>
    </row>
    <row r="382" ht="15.75" customHeight="1">
      <c r="D382" s="47"/>
      <c r="G382" s="47"/>
    </row>
    <row r="383" ht="15.75" customHeight="1">
      <c r="D383" s="47"/>
      <c r="G383" s="47"/>
    </row>
    <row r="384" ht="15.75" customHeight="1">
      <c r="D384" s="47"/>
      <c r="G384" s="47"/>
    </row>
    <row r="385" ht="15.75" customHeight="1">
      <c r="D385" s="47"/>
      <c r="G385" s="47"/>
    </row>
    <row r="386" ht="15.75" customHeight="1">
      <c r="D386" s="47"/>
      <c r="G386" s="47"/>
    </row>
    <row r="387" ht="15.75" customHeight="1">
      <c r="D387" s="47"/>
      <c r="G387" s="47"/>
    </row>
    <row r="388" ht="15.75" customHeight="1">
      <c r="D388" s="47"/>
      <c r="G388" s="47"/>
    </row>
    <row r="389" ht="15.75" customHeight="1">
      <c r="D389" s="47"/>
      <c r="G389" s="47"/>
    </row>
    <row r="390" ht="15.75" customHeight="1">
      <c r="D390" s="47"/>
      <c r="G390" s="47"/>
    </row>
    <row r="391" ht="15.75" customHeight="1">
      <c r="D391" s="47"/>
      <c r="G391" s="47"/>
    </row>
    <row r="392" ht="15.75" customHeight="1">
      <c r="D392" s="47"/>
      <c r="G392" s="47"/>
    </row>
    <row r="393" ht="15.75" customHeight="1">
      <c r="D393" s="47"/>
      <c r="G393" s="47"/>
    </row>
    <row r="394" ht="15.75" customHeight="1">
      <c r="D394" s="47"/>
      <c r="G394" s="47"/>
    </row>
    <row r="395" ht="15.75" customHeight="1">
      <c r="D395" s="47"/>
      <c r="G395" s="47"/>
    </row>
    <row r="396" ht="15.75" customHeight="1">
      <c r="D396" s="47"/>
      <c r="G396" s="47"/>
    </row>
    <row r="397" ht="15.75" customHeight="1">
      <c r="D397" s="47"/>
      <c r="G397" s="47"/>
    </row>
    <row r="398" ht="15.75" customHeight="1">
      <c r="D398" s="47"/>
      <c r="G398" s="47"/>
    </row>
    <row r="399" ht="15.75" customHeight="1">
      <c r="D399" s="47"/>
      <c r="G399" s="47"/>
    </row>
    <row r="400" ht="15.75" customHeight="1">
      <c r="D400" s="47"/>
      <c r="G400" s="47"/>
    </row>
    <row r="401" ht="15.75" customHeight="1">
      <c r="D401" s="47"/>
      <c r="G401" s="47"/>
    </row>
    <row r="402" ht="15.75" customHeight="1">
      <c r="D402" s="47"/>
      <c r="G402" s="47"/>
    </row>
    <row r="403" ht="15.75" customHeight="1">
      <c r="D403" s="47"/>
      <c r="G403" s="47"/>
    </row>
    <row r="404" ht="15.75" customHeight="1">
      <c r="D404" s="47"/>
      <c r="G404" s="47"/>
    </row>
    <row r="405" ht="15.75" customHeight="1">
      <c r="D405" s="47"/>
      <c r="G405" s="47"/>
    </row>
    <row r="406" ht="15.75" customHeight="1">
      <c r="D406" s="47"/>
      <c r="G406" s="47"/>
    </row>
    <row r="407" ht="15.75" customHeight="1">
      <c r="D407" s="47"/>
      <c r="G407" s="47"/>
    </row>
    <row r="408" ht="15.75" customHeight="1">
      <c r="D408" s="47"/>
      <c r="G408" s="47"/>
    </row>
    <row r="409" ht="15.75" customHeight="1">
      <c r="D409" s="47"/>
      <c r="G409" s="47"/>
    </row>
    <row r="410" ht="15.75" customHeight="1">
      <c r="D410" s="47"/>
      <c r="G410" s="47"/>
    </row>
    <row r="411" ht="15.75" customHeight="1">
      <c r="D411" s="47"/>
      <c r="G411" s="47"/>
    </row>
    <row r="412" ht="15.75" customHeight="1">
      <c r="D412" s="47"/>
      <c r="G412" s="47"/>
    </row>
    <row r="413" ht="15.75" customHeight="1">
      <c r="D413" s="47"/>
      <c r="G413" s="47"/>
    </row>
    <row r="414" ht="15.75" customHeight="1">
      <c r="D414" s="47"/>
      <c r="G414" s="47"/>
    </row>
    <row r="415" ht="15.75" customHeight="1">
      <c r="D415" s="47"/>
      <c r="G415" s="47"/>
    </row>
    <row r="416" ht="15.75" customHeight="1">
      <c r="D416" s="47"/>
      <c r="G416" s="47"/>
    </row>
    <row r="417" ht="15.75" customHeight="1">
      <c r="D417" s="47"/>
      <c r="G417" s="47"/>
    </row>
    <row r="418" ht="15.75" customHeight="1">
      <c r="D418" s="47"/>
      <c r="G418" s="47"/>
    </row>
    <row r="419" ht="15.75" customHeight="1">
      <c r="D419" s="47"/>
      <c r="G419" s="47"/>
    </row>
    <row r="420" ht="15.75" customHeight="1">
      <c r="D420" s="47"/>
      <c r="G420" s="47"/>
    </row>
    <row r="421" ht="15.75" customHeight="1">
      <c r="D421" s="47"/>
      <c r="G421" s="47"/>
    </row>
    <row r="422" ht="15.75" customHeight="1">
      <c r="D422" s="47"/>
      <c r="G422" s="47"/>
    </row>
    <row r="423" ht="15.75" customHeight="1">
      <c r="D423" s="47"/>
      <c r="G423" s="47"/>
    </row>
    <row r="424" ht="15.75" customHeight="1">
      <c r="D424" s="47"/>
      <c r="G424" s="47"/>
    </row>
    <row r="425" ht="15.75" customHeight="1">
      <c r="D425" s="47"/>
      <c r="G425" s="47"/>
    </row>
    <row r="426" ht="15.75" customHeight="1">
      <c r="D426" s="47"/>
      <c r="G426" s="47"/>
    </row>
    <row r="427" ht="15.75" customHeight="1">
      <c r="D427" s="47"/>
      <c r="G427" s="47"/>
    </row>
    <row r="428" ht="15.75" customHeight="1">
      <c r="D428" s="47"/>
      <c r="G428" s="47"/>
    </row>
    <row r="429" ht="15.75" customHeight="1">
      <c r="D429" s="47"/>
      <c r="G429" s="47"/>
    </row>
    <row r="430" ht="15.75" customHeight="1">
      <c r="D430" s="47"/>
      <c r="G430" s="47"/>
    </row>
    <row r="431" ht="15.75" customHeight="1">
      <c r="D431" s="47"/>
      <c r="G431" s="47"/>
    </row>
    <row r="432" ht="15.75" customHeight="1">
      <c r="D432" s="47"/>
      <c r="G432" s="47"/>
    </row>
    <row r="433" ht="15.75" customHeight="1">
      <c r="D433" s="47"/>
      <c r="G433" s="47"/>
    </row>
    <row r="434" ht="15.75" customHeight="1">
      <c r="D434" s="47"/>
      <c r="G434" s="47"/>
    </row>
    <row r="435" ht="15.75" customHeight="1">
      <c r="D435" s="47"/>
      <c r="G435" s="47"/>
    </row>
    <row r="436" ht="15.75" customHeight="1">
      <c r="D436" s="47"/>
      <c r="G436" s="47"/>
    </row>
    <row r="437" ht="15.75" customHeight="1">
      <c r="D437" s="47"/>
      <c r="G437" s="47"/>
    </row>
    <row r="438" ht="15.75" customHeight="1">
      <c r="D438" s="47"/>
      <c r="G438" s="47"/>
    </row>
    <row r="439" ht="15.75" customHeight="1">
      <c r="D439" s="47"/>
      <c r="G439" s="47"/>
    </row>
    <row r="440" ht="15.75" customHeight="1">
      <c r="D440" s="47"/>
      <c r="G440" s="47"/>
    </row>
    <row r="441" ht="15.75" customHeight="1">
      <c r="D441" s="47"/>
      <c r="G441" s="47"/>
    </row>
    <row r="442" ht="15.75" customHeight="1">
      <c r="D442" s="47"/>
      <c r="G442" s="47"/>
    </row>
    <row r="443" ht="15.75" customHeight="1">
      <c r="D443" s="47"/>
      <c r="G443" s="47"/>
    </row>
    <row r="444" ht="15.75" customHeight="1">
      <c r="D444" s="47"/>
      <c r="G444" s="47"/>
    </row>
    <row r="445" ht="15.75" customHeight="1">
      <c r="D445" s="47"/>
      <c r="G445" s="47"/>
    </row>
    <row r="446" ht="15.75" customHeight="1">
      <c r="D446" s="47"/>
      <c r="G446" s="47"/>
    </row>
    <row r="447" ht="15.75" customHeight="1">
      <c r="D447" s="47"/>
      <c r="G447" s="47"/>
    </row>
    <row r="448" ht="15.75" customHeight="1">
      <c r="D448" s="47"/>
      <c r="G448" s="47"/>
    </row>
    <row r="449" ht="15.75" customHeight="1">
      <c r="D449" s="47"/>
      <c r="G449" s="47"/>
    </row>
    <row r="450" ht="15.75" customHeight="1">
      <c r="D450" s="47"/>
      <c r="G450" s="47"/>
    </row>
    <row r="451" ht="15.75" customHeight="1">
      <c r="D451" s="47"/>
      <c r="G451" s="47"/>
    </row>
    <row r="452" ht="15.75" customHeight="1">
      <c r="D452" s="47"/>
      <c r="G452" s="47"/>
    </row>
    <row r="453" ht="15.75" customHeight="1">
      <c r="D453" s="47"/>
      <c r="G453" s="47"/>
    </row>
    <row r="454" ht="15.75" customHeight="1">
      <c r="D454" s="47"/>
      <c r="G454" s="47"/>
    </row>
    <row r="455" ht="15.75" customHeight="1">
      <c r="D455" s="47"/>
      <c r="G455" s="47"/>
    </row>
    <row r="456" ht="15.75" customHeight="1">
      <c r="D456" s="47"/>
      <c r="G456" s="47"/>
    </row>
    <row r="457" ht="15.75" customHeight="1">
      <c r="D457" s="47"/>
      <c r="G457" s="47"/>
    </row>
    <row r="458" ht="15.75" customHeight="1">
      <c r="D458" s="47"/>
      <c r="G458" s="47"/>
    </row>
    <row r="459" ht="15.75" customHeight="1">
      <c r="D459" s="47"/>
      <c r="G459" s="47"/>
    </row>
    <row r="460" ht="15.75" customHeight="1">
      <c r="D460" s="47"/>
      <c r="G460" s="47"/>
    </row>
    <row r="461" ht="15.75" customHeight="1">
      <c r="D461" s="47"/>
      <c r="G461" s="47"/>
    </row>
    <row r="462" ht="15.75" customHeight="1">
      <c r="D462" s="47"/>
      <c r="G462" s="47"/>
    </row>
    <row r="463" ht="15.75" customHeight="1">
      <c r="D463" s="47"/>
      <c r="G463" s="47"/>
    </row>
    <row r="464" ht="15.75" customHeight="1">
      <c r="D464" s="47"/>
      <c r="G464" s="47"/>
    </row>
    <row r="465" ht="15.75" customHeight="1">
      <c r="D465" s="47"/>
      <c r="G465" s="47"/>
    </row>
    <row r="466" ht="15.75" customHeight="1">
      <c r="D466" s="47"/>
      <c r="G466" s="47"/>
    </row>
    <row r="467" ht="15.75" customHeight="1">
      <c r="D467" s="47"/>
      <c r="G467" s="47"/>
    </row>
    <row r="468" ht="15.75" customHeight="1">
      <c r="D468" s="47"/>
      <c r="G468" s="47"/>
    </row>
    <row r="469" ht="15.75" customHeight="1">
      <c r="D469" s="47"/>
      <c r="G469" s="47"/>
    </row>
    <row r="470" ht="15.75" customHeight="1">
      <c r="D470" s="47"/>
      <c r="G470" s="47"/>
    </row>
    <row r="471" ht="15.75" customHeight="1">
      <c r="D471" s="47"/>
      <c r="G471" s="47"/>
    </row>
    <row r="472" ht="15.75" customHeight="1">
      <c r="D472" s="47"/>
      <c r="G472" s="47"/>
    </row>
    <row r="473" ht="15.75" customHeight="1">
      <c r="D473" s="47"/>
      <c r="G473" s="47"/>
    </row>
    <row r="474" ht="15.75" customHeight="1">
      <c r="D474" s="47"/>
      <c r="G474" s="47"/>
    </row>
    <row r="475" ht="15.75" customHeight="1">
      <c r="D475" s="47"/>
      <c r="G475" s="47"/>
    </row>
    <row r="476" ht="15.75" customHeight="1">
      <c r="D476" s="47"/>
      <c r="G476" s="47"/>
    </row>
    <row r="477" ht="15.75" customHeight="1">
      <c r="D477" s="47"/>
      <c r="G477" s="47"/>
    </row>
    <row r="478" ht="15.75" customHeight="1">
      <c r="D478" s="47"/>
      <c r="G478" s="47"/>
    </row>
    <row r="479" ht="15.75" customHeight="1">
      <c r="D479" s="47"/>
      <c r="G479" s="47"/>
    </row>
    <row r="480" ht="15.75" customHeight="1">
      <c r="D480" s="47"/>
      <c r="G480" s="47"/>
    </row>
    <row r="481" ht="15.75" customHeight="1">
      <c r="D481" s="47"/>
      <c r="G481" s="47"/>
    </row>
    <row r="482" ht="15.75" customHeight="1">
      <c r="D482" s="47"/>
      <c r="G482" s="47"/>
    </row>
    <row r="483" ht="15.75" customHeight="1">
      <c r="D483" s="47"/>
      <c r="G483" s="47"/>
    </row>
    <row r="484" ht="15.75" customHeight="1">
      <c r="D484" s="47"/>
      <c r="G484" s="47"/>
    </row>
    <row r="485" ht="15.75" customHeight="1">
      <c r="D485" s="47"/>
      <c r="G485" s="47"/>
    </row>
    <row r="486" ht="15.75" customHeight="1">
      <c r="D486" s="47"/>
      <c r="G486" s="47"/>
    </row>
    <row r="487" ht="15.75" customHeight="1">
      <c r="D487" s="47"/>
      <c r="G487" s="47"/>
    </row>
    <row r="488" ht="15.75" customHeight="1">
      <c r="D488" s="47"/>
      <c r="G488" s="47"/>
    </row>
    <row r="489" ht="15.75" customHeight="1">
      <c r="D489" s="47"/>
      <c r="G489" s="47"/>
    </row>
    <row r="490" ht="15.75" customHeight="1">
      <c r="D490" s="47"/>
      <c r="G490" s="47"/>
    </row>
    <row r="491" ht="15.75" customHeight="1">
      <c r="D491" s="47"/>
      <c r="G491" s="47"/>
    </row>
    <row r="492" ht="15.75" customHeight="1">
      <c r="D492" s="47"/>
      <c r="G492" s="47"/>
    </row>
    <row r="493" ht="15.75" customHeight="1">
      <c r="D493" s="47"/>
      <c r="G493" s="47"/>
    </row>
    <row r="494" ht="15.75" customHeight="1">
      <c r="D494" s="47"/>
      <c r="G494" s="47"/>
    </row>
    <row r="495" ht="15.75" customHeight="1">
      <c r="D495" s="47"/>
      <c r="G495" s="47"/>
    </row>
    <row r="496" ht="15.75" customHeight="1">
      <c r="D496" s="47"/>
      <c r="G496" s="47"/>
    </row>
    <row r="497" ht="15.75" customHeight="1">
      <c r="D497" s="47"/>
      <c r="G497" s="47"/>
    </row>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autoFilter ref="A1:P5"/>
  <conditionalFormatting sqref="G2:G996">
    <cfRule type="expression" dxfId="1" priority="1">
      <formula>$G2="active"</formula>
    </cfRule>
  </conditionalFormatting>
  <conditionalFormatting sqref="G2:G996">
    <cfRule type="expression" dxfId="1" priority="2">
      <formula>$G2="completed"</formula>
    </cfRule>
  </conditionalFormatting>
  <conditionalFormatting sqref="G2:G996">
    <cfRule type="expression" dxfId="1" priority="3">
      <formula>$G2="paid"</formula>
    </cfRule>
  </conditionalFormatting>
  <conditionalFormatting sqref="G2:G996">
    <cfRule type="expression" dxfId="1" priority="4">
      <formula>$G2="present"</formula>
    </cfRule>
  </conditionalFormatting>
  <conditionalFormatting sqref="G2:G996">
    <cfRule type="expression" dxfId="2" priority="5">
      <formula>$G2="inactive"</formula>
    </cfRule>
  </conditionalFormatting>
  <conditionalFormatting sqref="G2:G996">
    <cfRule type="expression" dxfId="3" priority="6">
      <formula>$G2="absent"</formula>
    </cfRule>
  </conditionalFormatting>
  <conditionalFormatting sqref="G2:G996">
    <cfRule type="expression" dxfId="4" priority="7">
      <formula>$G2="late"</formula>
    </cfRule>
  </conditionalFormatting>
  <conditionalFormatting sqref="G2:G996">
    <cfRule type="expression" dxfId="4" priority="8">
      <formula>$G2="pending"</formula>
    </cfRule>
  </conditionalFormatting>
  <conditionalFormatting sqref="G2:G996">
    <cfRule type="expression" dxfId="3" priority="9">
      <formula>$G2="cancelled"</formula>
    </cfRule>
  </conditionalFormatting>
  <dataValidations>
    <dataValidation type="list" allowBlank="1" sqref="G2:G497">
      <formula1>DanhMuc!$C$2:$C$100</formula1>
    </dataValidation>
    <dataValidation type="list" allowBlank="1" sqref="D2:D497">
      <formula1>DanhMuc!$K$2:$K$100</formula1>
    </dataValidation>
  </dataValidations>
  <printOptions/>
  <pageMargins bottom="0.75" footer="0.0" header="0.0" left="0.7" right="0.7" top="0.7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59E0B"/>
    <pageSetUpPr/>
  </sheetPr>
  <sheetViews>
    <sheetView showGridLines="0" workbookViewId="0">
      <pane ySplit="1" topLeftCell="A2" activePane="bottomLeft" state="frozen"/>
      <selection pane="bottomLeft"/>
    </sheetView>
  </sheetViews>
  <sheetFormatPr customHeight="1" defaultColWidth="12.63" defaultRowHeight="15.0"/>
  <cols>
    <col min="1" max="1" width="10" customWidth="1"/>
    <col min="2" max="2" width="10" customWidth="1"/>
    <col min="3" max="3" width="10" customWidth="1"/>
    <col min="4" max="4" width="13" customWidth="1"/>
    <col min="5" max="5" width="13" customWidth="1"/>
    <col min="6" max="6" width="11" customWidth="1"/>
    <col min="7" max="7" width="42" customWidth="1"/>
    <col min="8" max="8" width="21" customWidth="1"/>
    <col min="9" max="9" width="21" customWidth="1"/>
  </cols>
  <sheetData>
    <row r="1" ht="31.5" customHeight="1">
      <c r="A1" s="3" t="s">
        <v>437</v>
      </c>
      <c r="B1" s="3" t="s">
        <v>127</v>
      </c>
      <c r="C1" s="3" t="s">
        <v>405</v>
      </c>
      <c r="D1" s="3" t="s">
        <v>438</v>
      </c>
      <c r="E1" s="3" t="s">
        <v>439</v>
      </c>
      <c r="F1" s="3" t="s">
        <v>140</v>
      </c>
      <c r="G1" s="3" t="s">
        <v>145</v>
      </c>
      <c r="H1" s="3" t="s">
        <v>146</v>
      </c>
      <c r="I1" s="3" t="s">
        <v>113</v>
      </c>
    </row>
    <row r="2" ht="22.5" customHeight="1">
      <c r="A2" s="28" t="inlineStr">
        <is>
          <t>DK0002</t>
        </is>
      </c>
      <c r="B2" s="28" t="inlineStr">
        <is>
          <t>HS007</t>
        </is>
      </c>
      <c r="C2" s="30" t="inlineStr">
        <is>
          <t>12A</t>
        </is>
      </c>
      <c r="D2" s="33">
        <v>46200.0</v>
      </c>
      <c r="E2" s="21"/>
      <c r="F2" s="29" t="inlineStr">
        <is>
          <t>active</t>
        </is>
      </c>
      <c r="G2" s="19"/>
      <c r="H2" s="33" t="s">
        <v>441</v>
      </c>
      <c r="I2" s="33" t="s">
        <v>441</v>
      </c>
    </row>
    <row r="3" ht="22.5" customHeight="1">
      <c r="A3" s="28" t="inlineStr">
        <is>
          <t>DK0003</t>
        </is>
      </c>
      <c r="B3" s="28" t="inlineStr">
        <is>
          <t>HS008</t>
        </is>
      </c>
      <c r="C3" s="36" t="inlineStr">
        <is>
          <t>12A</t>
        </is>
      </c>
      <c r="D3" s="38">
        <v>46200.0</v>
      </c>
      <c r="E3" s="22"/>
      <c r="F3" s="35" t="inlineStr">
        <is>
          <t>active</t>
        </is>
      </c>
      <c r="G3" s="15"/>
      <c r="H3" s="38" t="s">
        <v>443</v>
      </c>
      <c r="I3" s="38" t="s">
        <v>443</v>
      </c>
    </row>
    <row r="4" ht="22.5" customHeight="1">
      <c r="A4" s="28" t="inlineStr">
        <is>
          <t>DK0004</t>
        </is>
      </c>
      <c r="B4" s="28" t="inlineStr">
        <is>
          <t>HS009</t>
        </is>
      </c>
      <c r="C4" s="30" t="inlineStr">
        <is>
          <t>12A</t>
        </is>
      </c>
      <c r="D4" s="33">
        <v>46200.0</v>
      </c>
      <c r="E4" s="21"/>
      <c r="F4" s="29" t="inlineStr">
        <is>
          <t>active</t>
        </is>
      </c>
      <c r="G4" s="19"/>
      <c r="H4" s="33" t="s">
        <v>445</v>
      </c>
      <c r="I4" s="33" t="s">
        <v>445</v>
      </c>
    </row>
    <row r="5" ht="22.5" customHeight="1">
      <c r="A5" s="28" t="inlineStr">
        <is>
          <t>DK0005</t>
        </is>
      </c>
      <c r="B5" s="28" t="inlineStr">
        <is>
          <t>HS010</t>
        </is>
      </c>
      <c r="C5" s="36" t="inlineStr">
        <is>
          <t>12A</t>
        </is>
      </c>
      <c r="D5" s="38">
        <v>46200.0</v>
      </c>
      <c r="E5" s="22"/>
      <c r="F5" s="35" t="inlineStr">
        <is>
          <t>active</t>
        </is>
      </c>
      <c r="G5" s="15"/>
      <c r="H5" s="38" t="s">
        <v>447</v>
      </c>
      <c r="I5" s="38" t="s">
        <v>447</v>
      </c>
    </row>
    <row r="6" ht="22.5" customHeight="1">
      <c r="A6" s="28" t="inlineStr">
        <is>
          <t>DK0006</t>
        </is>
      </c>
      <c r="B6" s="28" t="inlineStr">
        <is>
          <t>HS011</t>
        </is>
      </c>
      <c r="C6" s="30" t="inlineStr">
        <is>
          <t>12A</t>
        </is>
      </c>
      <c r="D6" s="33">
        <v>46200.0</v>
      </c>
      <c r="E6" s="21"/>
      <c r="F6" s="29" t="inlineStr">
        <is>
          <t>active</t>
        </is>
      </c>
      <c r="G6" s="19"/>
      <c r="H6" s="33" t="s">
        <v>449</v>
      </c>
      <c r="I6" s="33" t="s">
        <v>449</v>
      </c>
    </row>
    <row r="7" ht="22.5" customHeight="1">
      <c r="A7" s="28" t="inlineStr">
        <is>
          <t>DK0007</t>
        </is>
      </c>
      <c r="B7" s="28" t="inlineStr">
        <is>
          <t>HS012</t>
        </is>
      </c>
      <c r="C7" s="36" t="inlineStr">
        <is>
          <t>12A</t>
        </is>
      </c>
      <c r="D7" s="38">
        <v>46200.0</v>
      </c>
      <c r="E7" s="22"/>
      <c r="F7" s="35" t="inlineStr">
        <is>
          <t>active</t>
        </is>
      </c>
      <c r="G7" s="15"/>
      <c r="H7" s="38" t="s">
        <v>451</v>
      </c>
      <c r="I7" s="38" t="s">
        <v>451</v>
      </c>
    </row>
    <row r="8" ht="22.5" customHeight="1">
      <c r="A8" s="28" t="inlineStr">
        <is>
          <t>DK0008</t>
        </is>
      </c>
      <c r="B8" s="28" t="inlineStr">
        <is>
          <t>HS013</t>
        </is>
      </c>
      <c r="C8" s="30" t="inlineStr">
        <is>
          <t>12A</t>
        </is>
      </c>
      <c r="D8" s="33">
        <v>46200.0</v>
      </c>
      <c r="E8" s="21"/>
      <c r="F8" s="29" t="inlineStr">
        <is>
          <t>active</t>
        </is>
      </c>
      <c r="G8" s="19"/>
      <c r="H8" s="33" t="s">
        <v>453</v>
      </c>
      <c r="I8" s="33" t="s">
        <v>453</v>
      </c>
    </row>
    <row r="9" ht="22.5" customHeight="1">
      <c r="A9" s="28" t="inlineStr">
        <is>
          <t>DK0009</t>
        </is>
      </c>
      <c r="B9" s="28" t="inlineStr">
        <is>
          <t>HS014</t>
        </is>
      </c>
      <c r="C9" s="36" t="inlineStr">
        <is>
          <t>12A</t>
        </is>
      </c>
      <c r="D9" s="38">
        <v>46200.0</v>
      </c>
      <c r="E9" s="22"/>
      <c r="F9" s="35" t="inlineStr">
        <is>
          <t>active</t>
        </is>
      </c>
      <c r="G9" s="15"/>
      <c r="H9" s="38" t="s">
        <v>455</v>
      </c>
      <c r="I9" s="38" t="s">
        <v>455</v>
      </c>
    </row>
    <row r="10" ht="22.5" customHeight="1">
      <c r="A10" s="28" t="inlineStr">
        <is>
          <t>DK0010</t>
        </is>
      </c>
      <c r="B10" s="28" t="inlineStr">
        <is>
          <t>HS015</t>
        </is>
      </c>
      <c r="C10" s="30" t="inlineStr">
        <is>
          <t>12A</t>
        </is>
      </c>
      <c r="D10" s="33">
        <v>46200.0</v>
      </c>
      <c r="E10" s="21"/>
      <c r="F10" s="29" t="inlineStr">
        <is>
          <t>active</t>
        </is>
      </c>
      <c r="G10" s="19"/>
      <c r="H10" s="33" t="s">
        <v>257</v>
      </c>
      <c r="I10" s="33" t="s">
        <v>257</v>
      </c>
    </row>
    <row r="11" ht="22.5" customHeight="1">
      <c r="A11" s="28" t="inlineStr">
        <is>
          <t>DK0011</t>
        </is>
      </c>
      <c r="B11" s="28" t="inlineStr">
        <is>
          <t>HS016</t>
        </is>
      </c>
      <c r="C11" s="36" t="inlineStr">
        <is>
          <t>12A</t>
        </is>
      </c>
      <c r="D11" s="38">
        <v>46200.0</v>
      </c>
      <c r="E11" s="22"/>
      <c r="F11" s="35" t="inlineStr">
        <is>
          <t>active</t>
        </is>
      </c>
      <c r="G11" s="15"/>
      <c r="H11" s="38" t="s">
        <v>458</v>
      </c>
      <c r="I11" s="38" t="s">
        <v>458</v>
      </c>
    </row>
    <row r="12" ht="22.5" customHeight="1">
      <c r="A12" s="28" t="inlineStr">
        <is>
          <t>DK0012</t>
        </is>
      </c>
      <c r="B12" s="28" t="inlineStr">
        <is>
          <t>HS017</t>
        </is>
      </c>
      <c r="C12" s="30" t="inlineStr">
        <is>
          <t>12A</t>
        </is>
      </c>
      <c r="D12" s="33">
        <v>46200.0</v>
      </c>
      <c r="E12" s="21"/>
      <c r="F12" s="29" t="inlineStr">
        <is>
          <t>active</t>
        </is>
      </c>
      <c r="G12" s="19"/>
      <c r="H12" s="33" t="s">
        <v>460</v>
      </c>
      <c r="I12" s="33" t="s">
        <v>460</v>
      </c>
    </row>
    <row r="13" ht="22.5" customHeight="1">
      <c r="A13" s="28" t="inlineStr">
        <is>
          <t>DK0013</t>
        </is>
      </c>
      <c r="B13" s="28" t="inlineStr">
        <is>
          <t>HS018</t>
        </is>
      </c>
      <c r="C13" s="36" t="inlineStr">
        <is>
          <t>12A</t>
        </is>
      </c>
      <c r="D13" s="38">
        <v>46200.0</v>
      </c>
      <c r="E13" s="22"/>
      <c r="F13" s="35" t="inlineStr">
        <is>
          <t>active</t>
        </is>
      </c>
      <c r="G13" s="15"/>
      <c r="H13" s="38" t="s">
        <v>462</v>
      </c>
      <c r="I13" s="38" t="s">
        <v>462</v>
      </c>
    </row>
    <row r="14" ht="22.5" customHeight="1">
      <c r="A14" s="28" t="inlineStr">
        <is>
          <t>DK0014</t>
        </is>
      </c>
      <c r="B14" s="28" t="inlineStr">
        <is>
          <t>HS019</t>
        </is>
      </c>
      <c r="C14" s="30" t="inlineStr">
        <is>
          <t>12B</t>
        </is>
      </c>
      <c r="D14" s="33">
        <v>46200.0</v>
      </c>
      <c r="E14" s="21"/>
      <c r="F14" s="29" t="inlineStr">
        <is>
          <t>active</t>
        </is>
      </c>
      <c r="G14" s="19"/>
      <c r="H14" s="33" t="s">
        <v>464</v>
      </c>
      <c r="I14" s="33" t="s">
        <v>464</v>
      </c>
    </row>
    <row r="15" ht="22.5" customHeight="1">
      <c r="A15" s="28" t="inlineStr">
        <is>
          <t>DK0015</t>
        </is>
      </c>
      <c r="B15" s="28" t="inlineStr">
        <is>
          <t>HS020</t>
        </is>
      </c>
      <c r="C15" s="36" t="inlineStr">
        <is>
          <t>12B</t>
        </is>
      </c>
      <c r="D15" s="38">
        <v>46200.0</v>
      </c>
      <c r="E15" s="22"/>
      <c r="F15" s="35" t="inlineStr">
        <is>
          <t>active</t>
        </is>
      </c>
      <c r="G15" s="15"/>
      <c r="H15" s="38" t="s">
        <v>466</v>
      </c>
      <c r="I15" s="38" t="s">
        <v>466</v>
      </c>
    </row>
    <row r="16" ht="22.5" customHeight="1">
      <c r="A16" s="28" t="inlineStr">
        <is>
          <t>DK0016</t>
        </is>
      </c>
      <c r="B16" s="28" t="inlineStr">
        <is>
          <t>HS021</t>
        </is>
      </c>
      <c r="C16" s="30" t="inlineStr">
        <is>
          <t>12B</t>
        </is>
      </c>
      <c r="D16" s="33">
        <v>46200.0</v>
      </c>
      <c r="E16" s="21"/>
      <c r="F16" s="29" t="inlineStr">
        <is>
          <t>active</t>
        </is>
      </c>
      <c r="G16" s="19"/>
      <c r="H16" s="33" t="s">
        <v>468</v>
      </c>
      <c r="I16" s="33" t="s">
        <v>468</v>
      </c>
    </row>
    <row r="17" ht="22.5" customHeight="1">
      <c r="A17" s="28" t="inlineStr">
        <is>
          <t>DK0017</t>
        </is>
      </c>
      <c r="B17" s="28" t="inlineStr">
        <is>
          <t>HS022</t>
        </is>
      </c>
      <c r="C17" s="36" t="inlineStr">
        <is>
          <t>12B</t>
        </is>
      </c>
      <c r="D17" s="38">
        <v>46200.0</v>
      </c>
      <c r="E17" s="22"/>
      <c r="F17" s="35" t="inlineStr">
        <is>
          <t>active</t>
        </is>
      </c>
      <c r="G17" s="15"/>
      <c r="H17" s="38" t="s">
        <v>470</v>
      </c>
      <c r="I17" s="38" t="s">
        <v>470</v>
      </c>
    </row>
    <row r="18" ht="22.5" customHeight="1">
      <c r="A18" s="28" t="inlineStr">
        <is>
          <t>DK0018</t>
        </is>
      </c>
      <c r="B18" s="28" t="inlineStr">
        <is>
          <t>HS023</t>
        </is>
      </c>
      <c r="C18" s="30" t="inlineStr">
        <is>
          <t>12B</t>
        </is>
      </c>
      <c r="D18" s="33">
        <v>46200.0</v>
      </c>
      <c r="E18" s="21"/>
      <c r="F18" s="29" t="inlineStr">
        <is>
          <t>active</t>
        </is>
      </c>
      <c r="G18" s="19"/>
      <c r="H18" s="33" t="s">
        <v>472</v>
      </c>
      <c r="I18" s="33" t="s">
        <v>472</v>
      </c>
    </row>
    <row r="19" ht="22.5" customHeight="1">
      <c r="A19" s="28" t="inlineStr">
        <is>
          <t>DK0019</t>
        </is>
      </c>
      <c r="B19" s="28" t="inlineStr">
        <is>
          <t>HS024</t>
        </is>
      </c>
      <c r="C19" s="36" t="inlineStr">
        <is>
          <t>12B</t>
        </is>
      </c>
      <c r="D19" s="38">
        <v>46200.0</v>
      </c>
      <c r="E19" s="22"/>
      <c r="F19" s="35" t="inlineStr">
        <is>
          <t>active</t>
        </is>
      </c>
      <c r="G19" s="15"/>
      <c r="H19" s="38" t="s">
        <v>474</v>
      </c>
      <c r="I19" s="38" t="s">
        <v>474</v>
      </c>
    </row>
    <row r="20" ht="22.5" customHeight="1">
      <c r="A20" s="28" t="inlineStr">
        <is>
          <t>DK0020</t>
        </is>
      </c>
      <c r="B20" s="28" t="inlineStr">
        <is>
          <t>HS025</t>
        </is>
      </c>
      <c r="C20" s="30" t="inlineStr">
        <is>
          <t>12B</t>
        </is>
      </c>
      <c r="D20" s="33">
        <v>46200.0</v>
      </c>
      <c r="E20" s="21"/>
      <c r="F20" s="29" t="inlineStr">
        <is>
          <t>active</t>
        </is>
      </c>
      <c r="G20" s="19"/>
      <c r="H20" s="33" t="s">
        <v>476</v>
      </c>
      <c r="I20" s="33" t="s">
        <v>476</v>
      </c>
    </row>
    <row r="21" ht="22.5" customHeight="1">
      <c r="A21" s="28" t="inlineStr">
        <is>
          <t>DK0021</t>
        </is>
      </c>
      <c r="B21" s="28" t="inlineStr">
        <is>
          <t>HS002</t>
        </is>
      </c>
      <c r="C21" s="36" t="inlineStr">
        <is>
          <t>6A</t>
        </is>
      </c>
      <c r="D21" s="38">
        <v>46200.0</v>
      </c>
      <c r="E21" s="22"/>
      <c r="F21" s="35" t="inlineStr">
        <is>
          <t>active</t>
        </is>
      </c>
      <c r="G21" s="15"/>
      <c r="H21" s="38" t="s">
        <v>478</v>
      </c>
      <c r="I21" s="38" t="s">
        <v>478</v>
      </c>
    </row>
    <row r="22" ht="22.5" customHeight="1">
      <c r="A22" s="28" t="inlineStr">
        <is>
          <t>DK0022</t>
        </is>
      </c>
      <c r="B22" s="28" t="inlineStr">
        <is>
          <t>HS003</t>
        </is>
      </c>
      <c r="C22" s="30" t="inlineStr">
        <is>
          <t>6A</t>
        </is>
      </c>
      <c r="D22" s="33">
        <v>46200.0</v>
      </c>
      <c r="E22" s="21"/>
      <c r="F22" s="29" t="inlineStr">
        <is>
          <t>active</t>
        </is>
      </c>
      <c r="G22" s="19"/>
      <c r="H22" s="33" t="s">
        <v>480</v>
      </c>
      <c r="I22" s="33" t="s">
        <v>480</v>
      </c>
    </row>
    <row r="23" ht="22.5" customHeight="1">
      <c r="A23" s="28" t="inlineStr">
        <is>
          <t>DK0023</t>
        </is>
      </c>
      <c r="B23" s="28" t="inlineStr">
        <is>
          <t>HS004</t>
        </is>
      </c>
      <c r="C23" s="36" t="inlineStr">
        <is>
          <t>6A</t>
        </is>
      </c>
      <c r="D23" s="38">
        <v>46200.0</v>
      </c>
      <c r="E23" s="22"/>
      <c r="F23" s="35" t="inlineStr">
        <is>
          <t>active</t>
        </is>
      </c>
      <c r="G23" s="15"/>
      <c r="H23" s="38" t="s">
        <v>169</v>
      </c>
      <c r="I23" s="38" t="s">
        <v>169</v>
      </c>
    </row>
    <row r="24" ht="22.5" customHeight="1">
      <c r="A24" s="28" t="inlineStr">
        <is>
          <t>DK0024</t>
        </is>
      </c>
      <c r="B24" s="28" t="inlineStr">
        <is>
          <t>HS005</t>
        </is>
      </c>
      <c r="C24" s="30" t="inlineStr">
        <is>
          <t>6A</t>
        </is>
      </c>
      <c r="D24" s="33">
        <v>46200.0</v>
      </c>
      <c r="E24" s="21"/>
      <c r="F24" s="29" t="inlineStr">
        <is>
          <t>active</t>
        </is>
      </c>
      <c r="G24" s="19"/>
      <c r="H24" s="33" t="s">
        <v>483</v>
      </c>
      <c r="I24" s="33" t="s">
        <v>483</v>
      </c>
    </row>
    <row r="25" ht="22.5" customHeight="1">
      <c r="A25" s="28" t="inlineStr">
        <is>
          <t>DK0025</t>
        </is>
      </c>
      <c r="B25" s="28" t="inlineStr">
        <is>
          <t>HS006</t>
        </is>
      </c>
      <c r="C25" s="36" t="inlineStr">
        <is>
          <t>6A</t>
        </is>
      </c>
      <c r="D25" s="38">
        <v>46200.0</v>
      </c>
      <c r="E25" s="22"/>
      <c r="F25" s="35" t="inlineStr">
        <is>
          <t>active</t>
        </is>
      </c>
      <c r="G25" s="15"/>
      <c r="H25" s="38" t="s">
        <v>485</v>
      </c>
      <c r="I25" s="38" t="s">
        <v>485</v>
      </c>
    </row>
    <row r="26" ht="22.5" customHeight="1">
      <c r="A26" s="28" t="inlineStr">
        <is>
          <t>DK0026</t>
        </is>
      </c>
      <c r="B26" s="28" t="inlineStr">
        <is>
          <t>HS026</t>
        </is>
      </c>
      <c r="C26" s="30" t="inlineStr">
        <is>
          <t>10A</t>
        </is>
      </c>
      <c r="D26" s="33">
        <v>46200.0</v>
      </c>
      <c r="E26" s="21"/>
      <c r="F26" s="29" t="inlineStr">
        <is>
          <t>active</t>
        </is>
      </c>
      <c r="G26" s="19"/>
      <c r="H26" s="33" t="s">
        <v>487</v>
      </c>
      <c r="I26" s="33" t="s">
        <v>487</v>
      </c>
    </row>
    <row r="27" ht="22.5" customHeight="1">
      <c r="A27" s="28" t="inlineStr">
        <is>
          <t>DK0027</t>
        </is>
      </c>
      <c r="B27" s="28" t="inlineStr">
        <is>
          <t>HS027</t>
        </is>
      </c>
      <c r="C27" s="36" t="inlineStr">
        <is>
          <t>10A</t>
        </is>
      </c>
      <c r="D27" s="38">
        <v>46200.0</v>
      </c>
      <c r="E27" s="22"/>
      <c r="F27" s="35" t="inlineStr">
        <is>
          <t>active</t>
        </is>
      </c>
      <c r="G27" s="15"/>
      <c r="H27" s="38" t="s">
        <v>489</v>
      </c>
      <c r="I27" s="38" t="s">
        <v>489</v>
      </c>
    </row>
    <row r="28" ht="22.5" customHeight="1">
      <c r="A28" s="28" t="inlineStr">
        <is>
          <t>DK0028</t>
        </is>
      </c>
      <c r="B28" s="28" t="inlineStr">
        <is>
          <t>HS028</t>
        </is>
      </c>
      <c r="C28" s="30" t="inlineStr">
        <is>
          <t>10A</t>
        </is>
      </c>
      <c r="D28" s="33">
        <v>46200.0</v>
      </c>
      <c r="E28" s="21"/>
      <c r="F28" s="29" t="inlineStr">
        <is>
          <t>active</t>
        </is>
      </c>
      <c r="G28" s="19"/>
      <c r="H28" s="33" t="s">
        <v>361</v>
      </c>
      <c r="I28" s="33" t="s">
        <v>361</v>
      </c>
    </row>
    <row r="29" ht="22.5" customHeight="1">
      <c r="A29" s="28" t="inlineStr">
        <is>
          <t>DK0029</t>
        </is>
      </c>
      <c r="B29" s="28" t="inlineStr">
        <is>
          <t>HS029</t>
        </is>
      </c>
      <c r="C29" s="36" t="inlineStr">
        <is>
          <t>10A</t>
        </is>
      </c>
      <c r="D29" s="38">
        <v>46200.0</v>
      </c>
      <c r="E29" s="22"/>
      <c r="F29" s="35" t="inlineStr">
        <is>
          <t>active</t>
        </is>
      </c>
      <c r="G29" s="15"/>
      <c r="H29" s="38" t="s">
        <v>492</v>
      </c>
      <c r="I29" s="38" t="s">
        <v>492</v>
      </c>
    </row>
    <row r="30" ht="22.5" customHeight="1">
      <c r="A30" s="28" t="inlineStr">
        <is>
          <t>DK0030</t>
        </is>
      </c>
      <c r="B30" s="28" t="inlineStr">
        <is>
          <t>HS030</t>
        </is>
      </c>
      <c r="C30" s="30" t="inlineStr">
        <is>
          <t>10A</t>
        </is>
      </c>
      <c r="D30" s="33">
        <v>46200.0</v>
      </c>
      <c r="E30" s="21"/>
      <c r="F30" s="29" t="inlineStr">
        <is>
          <t>active</t>
        </is>
      </c>
      <c r="G30" s="19"/>
      <c r="H30" s="33" t="s">
        <v>376</v>
      </c>
      <c r="I30" s="33" t="s">
        <v>376</v>
      </c>
    </row>
    <row r="31" ht="22.5" customHeight="1">
      <c r="A31" s="28" t="inlineStr">
        <is>
          <t>DK0031</t>
        </is>
      </c>
      <c r="B31" s="28" t="inlineStr">
        <is>
          <t>HS031</t>
        </is>
      </c>
      <c r="C31" s="36" t="inlineStr">
        <is>
          <t>10A</t>
        </is>
      </c>
      <c r="D31" s="38">
        <v>46200.0</v>
      </c>
      <c r="E31" s="22"/>
      <c r="F31" s="35" t="inlineStr">
        <is>
          <t>active</t>
        </is>
      </c>
      <c r="G31" s="15"/>
      <c r="H31" s="38" t="s">
        <v>495</v>
      </c>
      <c r="I31" s="38" t="s">
        <v>495</v>
      </c>
    </row>
    <row r="32" ht="22.5" customHeight="1">
      <c r="A32" s="28" t="inlineStr">
        <is>
          <t>DK0032</t>
        </is>
      </c>
      <c r="B32" s="28" t="inlineStr">
        <is>
          <t>HS032</t>
        </is>
      </c>
      <c r="C32" s="30" t="inlineStr">
        <is>
          <t>10A</t>
        </is>
      </c>
      <c r="D32" s="33">
        <v>46200.0</v>
      </c>
      <c r="E32" s="21"/>
      <c r="F32" s="29" t="inlineStr">
        <is>
          <t>active</t>
        </is>
      </c>
      <c r="G32" s="19"/>
      <c r="H32" s="33" t="s">
        <v>497</v>
      </c>
      <c r="I32" s="33" t="s">
        <v>497</v>
      </c>
    </row>
    <row r="33" ht="15.75" customHeight="1">
      <c r="A33" s="25"/>
      <c r="B33" s="25"/>
      <c r="C33" s="25"/>
      <c r="D33" s="26"/>
      <c r="E33" s="26"/>
      <c r="F33" s="25"/>
      <c r="G33" s="25"/>
      <c r="H33" s="43"/>
      <c r="I33" s="43"/>
    </row>
    <row r="34" ht="15.75" customHeight="1">
      <c r="A34" s="23"/>
      <c r="B34" s="23"/>
      <c r="C34" s="23"/>
      <c r="D34" s="24"/>
      <c r="E34" s="24"/>
      <c r="F34" s="23"/>
      <c r="G34" s="23"/>
      <c r="H34" s="45"/>
      <c r="I34" s="45"/>
    </row>
    <row r="35" ht="15.75" customHeight="1">
      <c r="A35" s="25"/>
      <c r="B35" s="25"/>
      <c r="C35" s="25"/>
      <c r="D35" s="26"/>
      <c r="E35" s="26"/>
      <c r="F35" s="25"/>
      <c r="G35" s="25"/>
      <c r="H35" s="43"/>
      <c r="I35" s="43"/>
    </row>
    <row r="36" ht="15.75" customHeight="1">
      <c r="A36" s="23"/>
      <c r="B36" s="23"/>
      <c r="C36" s="23"/>
      <c r="D36" s="24"/>
      <c r="E36" s="24"/>
      <c r="F36" s="23"/>
      <c r="G36" s="23"/>
      <c r="H36" s="45"/>
      <c r="I36" s="45"/>
    </row>
    <row r="37" ht="15.75" customHeight="1">
      <c r="A37" s="25"/>
      <c r="B37" s="25"/>
      <c r="C37" s="25"/>
      <c r="D37" s="26"/>
      <c r="E37" s="26"/>
      <c r="F37" s="25"/>
      <c r="G37" s="25"/>
      <c r="H37" s="43"/>
      <c r="I37" s="43"/>
    </row>
    <row r="38" ht="15.75" customHeight="1">
      <c r="A38" s="23"/>
      <c r="B38" s="23"/>
      <c r="C38" s="23"/>
      <c r="D38" s="24"/>
      <c r="E38" s="24"/>
      <c r="F38" s="23"/>
      <c r="G38" s="23"/>
      <c r="H38" s="45"/>
      <c r="I38" s="45"/>
    </row>
    <row r="39" ht="15.75" customHeight="1">
      <c r="A39" s="25"/>
      <c r="B39" s="25"/>
      <c r="C39" s="25"/>
      <c r="D39" s="26"/>
      <c r="E39" s="26"/>
      <c r="F39" s="25"/>
      <c r="G39" s="25"/>
      <c r="H39" s="43"/>
      <c r="I39" s="43"/>
    </row>
    <row r="40" ht="15.75" customHeight="1">
      <c r="A40" s="23"/>
      <c r="B40" s="23"/>
      <c r="C40" s="23"/>
      <c r="D40" s="24"/>
      <c r="E40" s="24"/>
      <c r="F40" s="23"/>
      <c r="G40" s="23"/>
      <c r="H40" s="45"/>
      <c r="I40" s="45"/>
    </row>
    <row r="41" ht="15.75" customHeight="1">
      <c r="A41" s="25"/>
      <c r="B41" s="25"/>
      <c r="C41" s="25"/>
      <c r="D41" s="26"/>
      <c r="E41" s="26"/>
      <c r="F41" s="25"/>
      <c r="G41" s="25"/>
      <c r="H41" s="43"/>
      <c r="I41" s="43"/>
    </row>
    <row r="42" ht="15.75" customHeight="1">
      <c r="A42" s="23"/>
      <c r="B42" s="23"/>
      <c r="C42" s="23"/>
      <c r="D42" s="24"/>
      <c r="E42" s="24"/>
      <c r="F42" s="23"/>
      <c r="G42" s="23"/>
      <c r="H42" s="45"/>
      <c r="I42" s="45"/>
    </row>
    <row r="43" ht="15.75" customHeight="1">
      <c r="A43" s="25"/>
      <c r="B43" s="25"/>
      <c r="C43" s="25"/>
      <c r="D43" s="26"/>
      <c r="E43" s="26"/>
      <c r="F43" s="25"/>
      <c r="G43" s="25"/>
      <c r="H43" s="43"/>
      <c r="I43" s="43"/>
    </row>
    <row r="44" ht="15.75" customHeight="1">
      <c r="A44" s="23"/>
      <c r="B44" s="23"/>
      <c r="C44" s="23"/>
      <c r="D44" s="24"/>
      <c r="E44" s="24"/>
      <c r="F44" s="23"/>
      <c r="G44" s="23"/>
      <c r="H44" s="45"/>
      <c r="I44" s="45"/>
    </row>
    <row r="45" ht="15.75" customHeight="1">
      <c r="A45" s="25"/>
      <c r="B45" s="25"/>
      <c r="C45" s="25"/>
      <c r="D45" s="26"/>
      <c r="E45" s="26"/>
      <c r="F45" s="25"/>
      <c r="G45" s="25"/>
      <c r="H45" s="43"/>
      <c r="I45" s="43"/>
    </row>
    <row r="46" ht="15.75" customHeight="1">
      <c r="A46" s="23"/>
      <c r="B46" s="23"/>
      <c r="C46" s="23"/>
      <c r="D46" s="24"/>
      <c r="E46" s="24"/>
      <c r="F46" s="23"/>
      <c r="G46" s="23"/>
      <c r="H46" s="45"/>
      <c r="I46" s="45"/>
    </row>
    <row r="47" ht="15.75" customHeight="1">
      <c r="A47" s="25"/>
      <c r="B47" s="25"/>
      <c r="C47" s="25"/>
      <c r="D47" s="26"/>
      <c r="E47" s="26"/>
      <c r="F47" s="25"/>
      <c r="G47" s="25"/>
      <c r="H47" s="43"/>
      <c r="I47" s="43"/>
    </row>
    <row r="48" ht="15.75" customHeight="1">
      <c r="A48" s="23"/>
      <c r="B48" s="23"/>
      <c r="C48" s="23"/>
      <c r="D48" s="24"/>
      <c r="E48" s="24"/>
      <c r="F48" s="23"/>
      <c r="G48" s="23"/>
      <c r="H48" s="45"/>
      <c r="I48" s="45"/>
    </row>
    <row r="49" ht="15.75" customHeight="1">
      <c r="A49" s="25"/>
      <c r="B49" s="25"/>
      <c r="C49" s="25"/>
      <c r="D49" s="26"/>
      <c r="E49" s="26"/>
      <c r="F49" s="25"/>
      <c r="G49" s="25"/>
      <c r="H49" s="43"/>
      <c r="I49" s="43"/>
    </row>
    <row r="50" ht="15.75" customHeight="1">
      <c r="A50" s="23"/>
      <c r="B50" s="23"/>
      <c r="C50" s="23"/>
      <c r="D50" s="24"/>
      <c r="E50" s="24"/>
      <c r="F50" s="23"/>
      <c r="G50" s="23"/>
      <c r="H50" s="45"/>
      <c r="I50" s="45"/>
    </row>
    <row r="51" ht="15.75" customHeight="1">
      <c r="A51" s="25"/>
      <c r="B51" s="25"/>
      <c r="C51" s="25"/>
      <c r="D51" s="26"/>
      <c r="E51" s="26"/>
      <c r="F51" s="25"/>
      <c r="G51" s="25"/>
      <c r="H51" s="43"/>
      <c r="I51" s="43"/>
    </row>
    <row r="52" ht="15.75" customHeight="1">
      <c r="A52" s="23"/>
      <c r="B52" s="23"/>
      <c r="C52" s="23"/>
      <c r="D52" s="24"/>
      <c r="E52" s="24"/>
      <c r="F52" s="23"/>
      <c r="G52" s="23"/>
      <c r="H52" s="45"/>
      <c r="I52" s="45"/>
    </row>
    <row r="53" ht="15.75" customHeight="1">
      <c r="A53" s="25"/>
      <c r="B53" s="25"/>
      <c r="C53" s="25"/>
      <c r="D53" s="26"/>
      <c r="E53" s="26"/>
      <c r="F53" s="25"/>
      <c r="G53" s="25"/>
      <c r="H53" s="43"/>
      <c r="I53" s="43"/>
    </row>
    <row r="54" ht="15.75" customHeight="1">
      <c r="A54" s="23"/>
      <c r="B54" s="23"/>
      <c r="C54" s="23"/>
      <c r="D54" s="24"/>
      <c r="E54" s="24"/>
      <c r="F54" s="23"/>
      <c r="G54" s="23"/>
      <c r="H54" s="45"/>
      <c r="I54" s="45"/>
    </row>
    <row r="55" ht="15.75" customHeight="1">
      <c r="A55" s="25"/>
      <c r="B55" s="25"/>
      <c r="C55" s="25"/>
      <c r="D55" s="26"/>
      <c r="E55" s="26"/>
      <c r="F55" s="25"/>
      <c r="G55" s="25"/>
      <c r="H55" s="43"/>
      <c r="I55" s="43"/>
    </row>
    <row r="56" ht="15.75" customHeight="1">
      <c r="A56" s="23"/>
      <c r="B56" s="23"/>
      <c r="C56" s="23"/>
      <c r="D56" s="24"/>
      <c r="E56" s="24"/>
      <c r="F56" s="23"/>
      <c r="G56" s="23"/>
      <c r="H56" s="45"/>
      <c r="I56" s="45"/>
    </row>
    <row r="57" ht="15.75" customHeight="1">
      <c r="A57" s="25"/>
      <c r="B57" s="25"/>
      <c r="C57" s="25"/>
      <c r="D57" s="26"/>
      <c r="E57" s="26"/>
      <c r="F57" s="25"/>
      <c r="G57" s="25"/>
      <c r="H57" s="43"/>
      <c r="I57" s="43"/>
    </row>
    <row r="58" ht="15.75" customHeight="1">
      <c r="A58" s="23"/>
      <c r="B58" s="23"/>
      <c r="C58" s="23"/>
      <c r="D58" s="24"/>
      <c r="E58" s="24"/>
      <c r="F58" s="23"/>
      <c r="G58" s="23"/>
      <c r="H58" s="45"/>
      <c r="I58" s="45"/>
    </row>
    <row r="59" ht="15.75" customHeight="1">
      <c r="A59" s="25"/>
      <c r="B59" s="25"/>
      <c r="C59" s="25"/>
      <c r="D59" s="26"/>
      <c r="E59" s="26"/>
      <c r="F59" s="25"/>
      <c r="G59" s="25"/>
      <c r="H59" s="43"/>
      <c r="I59" s="43"/>
    </row>
    <row r="60" ht="15.75" customHeight="1">
      <c r="A60" s="23"/>
      <c r="B60" s="23"/>
      <c r="C60" s="23"/>
      <c r="D60" s="24"/>
      <c r="E60" s="24"/>
      <c r="F60" s="23"/>
      <c r="G60" s="23"/>
      <c r="H60" s="45"/>
      <c r="I60" s="45"/>
    </row>
    <row r="61" ht="15.75" customHeight="1">
      <c r="A61" s="25"/>
      <c r="B61" s="25"/>
      <c r="C61" s="25"/>
      <c r="D61" s="26"/>
      <c r="E61" s="26"/>
      <c r="F61" s="25"/>
      <c r="G61" s="25"/>
      <c r="H61" s="43"/>
      <c r="I61" s="43"/>
    </row>
    <row r="62" ht="15.75" customHeight="1">
      <c r="A62" s="23"/>
      <c r="B62" s="23"/>
      <c r="C62" s="23"/>
      <c r="D62" s="24"/>
      <c r="E62" s="24"/>
      <c r="F62" s="23"/>
      <c r="G62" s="23"/>
      <c r="H62" s="45"/>
      <c r="I62" s="45"/>
    </row>
    <row r="63" ht="15.75" customHeight="1">
      <c r="A63" s="25"/>
      <c r="B63" s="25"/>
      <c r="C63" s="25"/>
      <c r="D63" s="26"/>
      <c r="E63" s="26"/>
      <c r="F63" s="25"/>
      <c r="G63" s="25"/>
      <c r="H63" s="43"/>
      <c r="I63" s="43"/>
    </row>
    <row r="64" ht="15.75" customHeight="1">
      <c r="A64" s="23"/>
      <c r="B64" s="23"/>
      <c r="C64" s="23"/>
      <c r="D64" s="24"/>
      <c r="E64" s="24"/>
      <c r="F64" s="23"/>
      <c r="G64" s="23"/>
      <c r="H64" s="45"/>
      <c r="I64" s="45"/>
    </row>
    <row r="65" ht="15.75" customHeight="1">
      <c r="A65" s="25"/>
      <c r="B65" s="25"/>
      <c r="C65" s="25"/>
      <c r="D65" s="26"/>
      <c r="E65" s="26"/>
      <c r="F65" s="25"/>
      <c r="G65" s="25"/>
      <c r="H65" s="43"/>
      <c r="I65" s="43"/>
    </row>
    <row r="66" ht="15.75" customHeight="1">
      <c r="A66" s="23"/>
      <c r="B66" s="23"/>
      <c r="C66" s="23"/>
      <c r="D66" s="24"/>
      <c r="E66" s="24"/>
      <c r="F66" s="23"/>
      <c r="G66" s="23"/>
      <c r="H66" s="45"/>
      <c r="I66" s="45"/>
    </row>
    <row r="67" ht="15.75" customHeight="1">
      <c r="A67" s="25"/>
      <c r="B67" s="25"/>
      <c r="C67" s="25"/>
      <c r="D67" s="26"/>
      <c r="E67" s="26"/>
      <c r="F67" s="25"/>
      <c r="G67" s="25"/>
      <c r="H67" s="43"/>
      <c r="I67" s="43"/>
    </row>
    <row r="68" ht="15.75" customHeight="1">
      <c r="A68" s="23"/>
      <c r="B68" s="23"/>
      <c r="C68" s="23"/>
      <c r="D68" s="24"/>
      <c r="E68" s="24"/>
      <c r="F68" s="23"/>
      <c r="G68" s="23"/>
      <c r="H68" s="45"/>
      <c r="I68" s="45"/>
    </row>
    <row r="69" ht="15.75" customHeight="1">
      <c r="A69" s="25"/>
      <c r="B69" s="25"/>
      <c r="C69" s="25"/>
      <c r="D69" s="26"/>
      <c r="E69" s="26"/>
      <c r="F69" s="25"/>
      <c r="G69" s="25"/>
      <c r="H69" s="43"/>
      <c r="I69" s="43"/>
    </row>
    <row r="70" ht="15.75" customHeight="1">
      <c r="A70" s="23"/>
      <c r="B70" s="23"/>
      <c r="C70" s="23"/>
      <c r="D70" s="24"/>
      <c r="E70" s="24"/>
      <c r="F70" s="23"/>
      <c r="G70" s="23"/>
      <c r="H70" s="45"/>
      <c r="I70" s="45"/>
    </row>
    <row r="71" ht="15.75" customHeight="1">
      <c r="A71" s="25"/>
      <c r="B71" s="25"/>
      <c r="C71" s="25"/>
      <c r="D71" s="26"/>
      <c r="E71" s="26"/>
      <c r="F71" s="25"/>
      <c r="G71" s="25"/>
      <c r="H71" s="43"/>
      <c r="I71" s="43"/>
    </row>
    <row r="72" ht="15.75" customHeight="1">
      <c r="A72" s="23"/>
      <c r="B72" s="23"/>
      <c r="C72" s="23"/>
      <c r="D72" s="24"/>
      <c r="E72" s="24"/>
      <c r="F72" s="23"/>
      <c r="G72" s="23"/>
      <c r="H72" s="45"/>
      <c r="I72" s="45"/>
    </row>
    <row r="73" ht="15.75" customHeight="1">
      <c r="A73" s="25"/>
      <c r="B73" s="25"/>
      <c r="C73" s="25"/>
      <c r="D73" s="26"/>
      <c r="E73" s="26"/>
      <c r="F73" s="25"/>
      <c r="G73" s="25"/>
      <c r="H73" s="43"/>
      <c r="I73" s="43"/>
    </row>
    <row r="74" ht="15.75" customHeight="1">
      <c r="A74" s="23"/>
      <c r="B74" s="23"/>
      <c r="C74" s="23"/>
      <c r="D74" s="24"/>
      <c r="E74" s="24"/>
      <c r="F74" s="23"/>
      <c r="G74" s="23"/>
      <c r="H74" s="45"/>
      <c r="I74" s="45"/>
    </row>
    <row r="75" ht="15.75" customHeight="1">
      <c r="A75" s="25"/>
      <c r="B75" s="25"/>
      <c r="C75" s="25"/>
      <c r="D75" s="26"/>
      <c r="E75" s="26"/>
      <c r="F75" s="25"/>
      <c r="G75" s="25"/>
      <c r="H75" s="43"/>
      <c r="I75" s="43"/>
    </row>
    <row r="76" ht="15.75" customHeight="1">
      <c r="A76" s="23"/>
      <c r="B76" s="23"/>
      <c r="C76" s="23"/>
      <c r="D76" s="24"/>
      <c r="E76" s="24"/>
      <c r="F76" s="23"/>
      <c r="G76" s="23"/>
      <c r="H76" s="45"/>
      <c r="I76" s="45"/>
    </row>
    <row r="77" ht="15.75" customHeight="1">
      <c r="A77" s="25"/>
      <c r="B77" s="25"/>
      <c r="C77" s="25"/>
      <c r="D77" s="26"/>
      <c r="E77" s="26"/>
      <c r="F77" s="25"/>
      <c r="G77" s="25"/>
      <c r="H77" s="43"/>
      <c r="I77" s="43"/>
    </row>
    <row r="78" ht="15.75" customHeight="1">
      <c r="A78" s="23"/>
      <c r="B78" s="23"/>
      <c r="C78" s="23"/>
      <c r="D78" s="24"/>
      <c r="E78" s="24"/>
      <c r="F78" s="23"/>
      <c r="G78" s="23"/>
      <c r="H78" s="45"/>
      <c r="I78" s="45"/>
    </row>
    <row r="79" ht="15.75" customHeight="1">
      <c r="A79" s="25"/>
      <c r="B79" s="25"/>
      <c r="C79" s="25"/>
      <c r="D79" s="26"/>
      <c r="E79" s="26"/>
      <c r="F79" s="25"/>
      <c r="G79" s="25"/>
      <c r="H79" s="43"/>
      <c r="I79" s="43"/>
    </row>
    <row r="80" ht="15.75" customHeight="1">
      <c r="A80" s="23"/>
      <c r="B80" s="23"/>
      <c r="C80" s="23"/>
      <c r="D80" s="24"/>
      <c r="E80" s="24"/>
      <c r="F80" s="23"/>
      <c r="G80" s="23"/>
      <c r="H80" s="45"/>
      <c r="I80" s="45"/>
    </row>
    <row r="81" ht="15.75" customHeight="1">
      <c r="A81" s="25"/>
      <c r="B81" s="25"/>
      <c r="C81" s="25"/>
      <c r="D81" s="26"/>
      <c r="E81" s="26"/>
      <c r="F81" s="25"/>
      <c r="G81" s="25"/>
      <c r="H81" s="43"/>
      <c r="I81" s="43"/>
    </row>
    <row r="82" ht="15.75" customHeight="1">
      <c r="A82" s="23"/>
      <c r="B82" s="23"/>
      <c r="C82" s="23"/>
      <c r="D82" s="24"/>
      <c r="E82" s="24"/>
      <c r="F82" s="23"/>
      <c r="G82" s="23"/>
      <c r="H82" s="45"/>
      <c r="I82" s="45"/>
    </row>
    <row r="83" ht="15.75" customHeight="1">
      <c r="A83" s="25"/>
      <c r="B83" s="25"/>
      <c r="C83" s="25"/>
      <c r="D83" s="26"/>
      <c r="E83" s="26"/>
      <c r="F83" s="25"/>
      <c r="G83" s="25"/>
      <c r="H83" s="43"/>
      <c r="I83" s="43"/>
    </row>
    <row r="84" ht="15.75" customHeight="1">
      <c r="A84" s="23"/>
      <c r="B84" s="23"/>
      <c r="C84" s="23"/>
      <c r="D84" s="24"/>
      <c r="E84" s="24"/>
      <c r="F84" s="23"/>
      <c r="G84" s="23"/>
      <c r="H84" s="45"/>
      <c r="I84" s="45"/>
    </row>
    <row r="85" ht="15.75" customHeight="1">
      <c r="A85" s="25"/>
      <c r="B85" s="25"/>
      <c r="C85" s="25"/>
      <c r="D85" s="26"/>
      <c r="E85" s="26"/>
      <c r="F85" s="25"/>
      <c r="G85" s="25"/>
      <c r="H85" s="43"/>
      <c r="I85" s="43"/>
    </row>
    <row r="86" ht="15.75" customHeight="1">
      <c r="A86" s="23"/>
      <c r="B86" s="23"/>
      <c r="C86" s="23"/>
      <c r="D86" s="24"/>
      <c r="E86" s="24"/>
      <c r="F86" s="23"/>
      <c r="G86" s="23"/>
      <c r="H86" s="45"/>
      <c r="I86" s="45"/>
    </row>
    <row r="87" ht="15.75" customHeight="1">
      <c r="A87" s="25"/>
      <c r="B87" s="25"/>
      <c r="C87" s="25"/>
      <c r="D87" s="26"/>
      <c r="E87" s="26"/>
      <c r="F87" s="25"/>
      <c r="G87" s="25"/>
      <c r="H87" s="43"/>
      <c r="I87" s="43"/>
    </row>
    <row r="88" ht="15.75" customHeight="1">
      <c r="A88" s="23"/>
      <c r="B88" s="23"/>
      <c r="C88" s="23"/>
      <c r="D88" s="24"/>
      <c r="E88" s="24"/>
      <c r="F88" s="23"/>
      <c r="G88" s="23"/>
      <c r="H88" s="45"/>
      <c r="I88" s="45"/>
    </row>
    <row r="89" ht="15.75" customHeight="1">
      <c r="A89" s="25"/>
      <c r="B89" s="25"/>
      <c r="C89" s="25"/>
      <c r="D89" s="26"/>
      <c r="E89" s="26"/>
      <c r="F89" s="25"/>
      <c r="G89" s="25"/>
      <c r="H89" s="43"/>
      <c r="I89" s="43"/>
    </row>
    <row r="90" ht="15.75" customHeight="1">
      <c r="A90" s="23"/>
      <c r="B90" s="23"/>
      <c r="C90" s="23"/>
      <c r="D90" s="24"/>
      <c r="E90" s="24"/>
      <c r="F90" s="23"/>
      <c r="G90" s="23"/>
      <c r="H90" s="45"/>
      <c r="I90" s="45"/>
    </row>
    <row r="91" ht="15.75" customHeight="1">
      <c r="A91" s="25"/>
      <c r="B91" s="25"/>
      <c r="C91" s="25"/>
      <c r="D91" s="26"/>
      <c r="E91" s="26"/>
      <c r="F91" s="25"/>
      <c r="G91" s="25"/>
      <c r="H91" s="43"/>
      <c r="I91" s="43"/>
    </row>
    <row r="92" ht="15.75" customHeight="1">
      <c r="A92" s="23"/>
      <c r="B92" s="23"/>
      <c r="C92" s="23"/>
      <c r="D92" s="24"/>
      <c r="E92" s="24"/>
      <c r="F92" s="23"/>
      <c r="G92" s="23"/>
      <c r="H92" s="45"/>
      <c r="I92" s="45"/>
    </row>
    <row r="93" ht="15.75" customHeight="1">
      <c r="A93" s="25"/>
      <c r="B93" s="25"/>
      <c r="C93" s="25"/>
      <c r="D93" s="26"/>
      <c r="E93" s="26"/>
      <c r="F93" s="25"/>
      <c r="G93" s="25"/>
      <c r="H93" s="43"/>
      <c r="I93" s="43"/>
    </row>
    <row r="94" ht="15.75" customHeight="1">
      <c r="A94" s="23"/>
      <c r="B94" s="23"/>
      <c r="C94" s="23"/>
      <c r="D94" s="24"/>
      <c r="E94" s="24"/>
      <c r="F94" s="23"/>
      <c r="G94" s="23"/>
      <c r="H94" s="45"/>
      <c r="I94" s="45"/>
    </row>
    <row r="95" ht="15.75" customHeight="1">
      <c r="A95" s="25"/>
      <c r="B95" s="25"/>
      <c r="C95" s="25"/>
      <c r="D95" s="26"/>
      <c r="E95" s="26"/>
      <c r="F95" s="25"/>
      <c r="G95" s="25"/>
      <c r="H95" s="43"/>
      <c r="I95" s="43"/>
    </row>
    <row r="96" ht="15.75" customHeight="1">
      <c r="A96" s="23"/>
      <c r="B96" s="23"/>
      <c r="C96" s="23"/>
      <c r="D96" s="24"/>
      <c r="E96" s="24"/>
      <c r="F96" s="23"/>
      <c r="G96" s="23"/>
      <c r="H96" s="45"/>
      <c r="I96" s="45"/>
    </row>
    <row r="97" ht="15.75" customHeight="1">
      <c r="A97" s="25"/>
      <c r="B97" s="25"/>
      <c r="C97" s="25"/>
      <c r="D97" s="26"/>
      <c r="E97" s="26"/>
      <c r="F97" s="25"/>
      <c r="G97" s="25"/>
      <c r="H97" s="43"/>
      <c r="I97" s="43"/>
    </row>
    <row r="98" ht="15.75" customHeight="1">
      <c r="A98" s="23"/>
      <c r="B98" s="23"/>
      <c r="C98" s="23"/>
      <c r="D98" s="24"/>
      <c r="E98" s="24"/>
      <c r="F98" s="23"/>
      <c r="G98" s="23"/>
      <c r="H98" s="45"/>
      <c r="I98" s="45"/>
    </row>
    <row r="99" ht="15.75" customHeight="1">
      <c r="A99" s="25"/>
      <c r="B99" s="25"/>
      <c r="C99" s="25"/>
      <c r="D99" s="26"/>
      <c r="E99" s="26"/>
      <c r="F99" s="25"/>
      <c r="G99" s="25"/>
      <c r="H99" s="43"/>
      <c r="I99" s="43"/>
    </row>
    <row r="100" ht="15.75" customHeight="1">
      <c r="A100" s="23"/>
      <c r="B100" s="23"/>
      <c r="C100" s="23"/>
      <c r="D100" s="24"/>
      <c r="E100" s="24"/>
      <c r="F100" s="23"/>
      <c r="G100" s="23"/>
      <c r="H100" s="45"/>
      <c r="I100" s="45"/>
    </row>
    <row r="101" ht="15.75" customHeight="1">
      <c r="A101" s="25"/>
      <c r="B101" s="25"/>
      <c r="C101" s="25"/>
      <c r="D101" s="26"/>
      <c r="E101" s="26"/>
      <c r="F101" s="25"/>
      <c r="G101" s="25"/>
      <c r="H101" s="43"/>
      <c r="I101" s="43"/>
    </row>
    <row r="102" ht="15.75" customHeight="1">
      <c r="A102" s="23"/>
      <c r="B102" s="23"/>
      <c r="C102" s="23"/>
      <c r="D102" s="24"/>
      <c r="E102" s="24"/>
      <c r="F102" s="23"/>
      <c r="G102" s="23"/>
      <c r="H102" s="45"/>
      <c r="I102" s="45"/>
    </row>
    <row r="103" ht="15.75" customHeight="1">
      <c r="A103" s="25"/>
      <c r="B103" s="25"/>
      <c r="C103" s="25"/>
      <c r="D103" s="26"/>
      <c r="E103" s="26"/>
      <c r="F103" s="25"/>
      <c r="G103" s="25"/>
      <c r="H103" s="43"/>
      <c r="I103" s="43"/>
    </row>
    <row r="104" ht="15.75" customHeight="1">
      <c r="A104" s="23"/>
      <c r="B104" s="23"/>
      <c r="C104" s="23"/>
      <c r="D104" s="24"/>
      <c r="E104" s="24"/>
      <c r="F104" s="23"/>
      <c r="G104" s="23"/>
      <c r="H104" s="45"/>
      <c r="I104" s="45"/>
    </row>
    <row r="105" ht="15.75" customHeight="1">
      <c r="A105" s="25"/>
      <c r="B105" s="25"/>
      <c r="C105" s="25"/>
      <c r="D105" s="26"/>
      <c r="E105" s="26"/>
      <c r="F105" s="25"/>
      <c r="G105" s="25"/>
      <c r="H105" s="43"/>
      <c r="I105" s="43"/>
    </row>
    <row r="106" ht="15.75" customHeight="1">
      <c r="A106" s="23"/>
      <c r="B106" s="23"/>
      <c r="C106" s="23"/>
      <c r="D106" s="24"/>
      <c r="E106" s="24"/>
      <c r="F106" s="23"/>
      <c r="G106" s="23"/>
      <c r="H106" s="45"/>
      <c r="I106" s="45"/>
    </row>
    <row r="107" ht="15.75" customHeight="1">
      <c r="A107" s="25"/>
      <c r="B107" s="25"/>
      <c r="C107" s="25"/>
      <c r="D107" s="26"/>
      <c r="E107" s="26"/>
      <c r="F107" s="25"/>
      <c r="G107" s="25"/>
      <c r="H107" s="43"/>
      <c r="I107" s="43"/>
    </row>
    <row r="108" ht="15.75" customHeight="1">
      <c r="A108" s="23"/>
      <c r="B108" s="23"/>
      <c r="C108" s="23"/>
      <c r="D108" s="24"/>
      <c r="E108" s="24"/>
      <c r="F108" s="23"/>
      <c r="G108" s="23"/>
      <c r="H108" s="45"/>
      <c r="I108" s="45"/>
    </row>
    <row r="109" ht="15.75" customHeight="1">
      <c r="A109" s="25"/>
      <c r="B109" s="25"/>
      <c r="C109" s="25"/>
      <c r="D109" s="26"/>
      <c r="E109" s="26"/>
      <c r="F109" s="25"/>
      <c r="G109" s="25"/>
      <c r="H109" s="43"/>
      <c r="I109" s="43"/>
    </row>
    <row r="110" ht="15.75" customHeight="1">
      <c r="A110" s="23"/>
      <c r="B110" s="23"/>
      <c r="C110" s="23"/>
      <c r="D110" s="24"/>
      <c r="E110" s="24"/>
      <c r="F110" s="23"/>
      <c r="G110" s="23"/>
      <c r="H110" s="45"/>
      <c r="I110" s="45"/>
    </row>
    <row r="111" ht="15.75" customHeight="1">
      <c r="A111" s="25"/>
      <c r="B111" s="25"/>
      <c r="C111" s="25"/>
      <c r="D111" s="26"/>
      <c r="E111" s="26"/>
      <c r="F111" s="25"/>
      <c r="G111" s="25"/>
      <c r="H111" s="43"/>
      <c r="I111" s="43"/>
    </row>
    <row r="112" ht="15.75" customHeight="1">
      <c r="A112" s="23"/>
      <c r="B112" s="23"/>
      <c r="C112" s="23"/>
      <c r="D112" s="24"/>
      <c r="E112" s="24"/>
      <c r="F112" s="23"/>
      <c r="G112" s="23"/>
      <c r="H112" s="45"/>
      <c r="I112" s="45"/>
    </row>
    <row r="113" ht="15.75" customHeight="1">
      <c r="A113" s="25"/>
      <c r="B113" s="25"/>
      <c r="C113" s="25"/>
      <c r="D113" s="26"/>
      <c r="E113" s="26"/>
      <c r="F113" s="25"/>
      <c r="G113" s="25"/>
      <c r="H113" s="43"/>
      <c r="I113" s="43"/>
    </row>
    <row r="114" ht="15.75" customHeight="1">
      <c r="A114" s="23"/>
      <c r="B114" s="23"/>
      <c r="C114" s="23"/>
      <c r="D114" s="24"/>
      <c r="E114" s="24"/>
      <c r="F114" s="23"/>
      <c r="G114" s="23"/>
      <c r="H114" s="45"/>
      <c r="I114" s="45"/>
    </row>
    <row r="115" ht="15.75" customHeight="1">
      <c r="A115" s="25"/>
      <c r="B115" s="25"/>
      <c r="C115" s="25"/>
      <c r="D115" s="26"/>
      <c r="E115" s="26"/>
      <c r="F115" s="25"/>
      <c r="G115" s="25"/>
      <c r="H115" s="43"/>
      <c r="I115" s="43"/>
    </row>
    <row r="116" ht="15.75" customHeight="1">
      <c r="A116" s="23"/>
      <c r="B116" s="23"/>
      <c r="C116" s="23"/>
      <c r="D116" s="24"/>
      <c r="E116" s="24"/>
      <c r="F116" s="23"/>
      <c r="G116" s="23"/>
      <c r="H116" s="45"/>
      <c r="I116" s="45"/>
    </row>
    <row r="117" ht="15.75" customHeight="1">
      <c r="A117" s="25"/>
      <c r="B117" s="25"/>
      <c r="C117" s="25"/>
      <c r="D117" s="26"/>
      <c r="E117" s="26"/>
      <c r="F117" s="25"/>
      <c r="G117" s="25"/>
      <c r="H117" s="43"/>
      <c r="I117" s="43"/>
    </row>
    <row r="118" ht="15.75" customHeight="1">
      <c r="A118" s="23"/>
      <c r="B118" s="23"/>
      <c r="C118" s="23"/>
      <c r="D118" s="24"/>
      <c r="E118" s="24"/>
      <c r="F118" s="23"/>
      <c r="G118" s="23"/>
      <c r="H118" s="45"/>
      <c r="I118" s="45"/>
    </row>
    <row r="119" ht="15.75" customHeight="1">
      <c r="A119" s="25"/>
      <c r="B119" s="25"/>
      <c r="C119" s="25"/>
      <c r="D119" s="26"/>
      <c r="E119" s="26"/>
      <c r="F119" s="25"/>
      <c r="G119" s="25"/>
      <c r="H119" s="43"/>
      <c r="I119" s="43"/>
    </row>
    <row r="120" ht="15.75" customHeight="1">
      <c r="A120" s="23"/>
      <c r="B120" s="23"/>
      <c r="C120" s="23"/>
      <c r="D120" s="24"/>
      <c r="E120" s="24"/>
      <c r="F120" s="23"/>
      <c r="G120" s="23"/>
      <c r="H120" s="45"/>
      <c r="I120" s="45"/>
    </row>
    <row r="121" ht="15.75" customHeight="1">
      <c r="A121" s="25"/>
      <c r="B121" s="25"/>
      <c r="C121" s="25"/>
      <c r="D121" s="26"/>
      <c r="E121" s="26"/>
      <c r="F121" s="25"/>
      <c r="G121" s="25"/>
      <c r="H121" s="43"/>
      <c r="I121" s="43"/>
    </row>
    <row r="122" ht="15.75" customHeight="1">
      <c r="A122" s="23"/>
      <c r="B122" s="23"/>
      <c r="C122" s="23"/>
      <c r="D122" s="24"/>
      <c r="E122" s="24"/>
      <c r="F122" s="23"/>
      <c r="G122" s="23"/>
      <c r="H122" s="45"/>
      <c r="I122" s="45"/>
    </row>
    <row r="123" ht="15.75" customHeight="1">
      <c r="A123" s="25"/>
      <c r="B123" s="25"/>
      <c r="C123" s="25"/>
      <c r="D123" s="26"/>
      <c r="E123" s="26"/>
      <c r="F123" s="25"/>
      <c r="G123" s="25"/>
      <c r="H123" s="43"/>
      <c r="I123" s="43"/>
    </row>
    <row r="124" ht="15.75" customHeight="1">
      <c r="A124" s="23"/>
      <c r="B124" s="23"/>
      <c r="C124" s="23"/>
      <c r="D124" s="24"/>
      <c r="E124" s="24"/>
      <c r="F124" s="23"/>
      <c r="G124" s="23"/>
      <c r="H124" s="45"/>
      <c r="I124" s="45"/>
    </row>
    <row r="125" ht="15.75" customHeight="1">
      <c r="A125" s="25"/>
      <c r="B125" s="25"/>
      <c r="C125" s="25"/>
      <c r="D125" s="26"/>
      <c r="E125" s="26"/>
      <c r="F125" s="25"/>
      <c r="G125" s="25"/>
      <c r="H125" s="43"/>
      <c r="I125" s="43"/>
    </row>
    <row r="126" ht="15.75" customHeight="1">
      <c r="A126" s="23"/>
      <c r="B126" s="23"/>
      <c r="C126" s="23"/>
      <c r="D126" s="24"/>
      <c r="E126" s="24"/>
      <c r="F126" s="23"/>
      <c r="G126" s="23"/>
      <c r="H126" s="45"/>
      <c r="I126" s="45"/>
    </row>
    <row r="127" ht="15.75" customHeight="1">
      <c r="A127" s="25"/>
      <c r="B127" s="25"/>
      <c r="C127" s="25"/>
      <c r="D127" s="26"/>
      <c r="E127" s="26"/>
      <c r="F127" s="25"/>
      <c r="G127" s="25"/>
      <c r="H127" s="43"/>
      <c r="I127" s="43"/>
    </row>
    <row r="128" ht="15.75" customHeight="1">
      <c r="A128" s="23"/>
      <c r="B128" s="23"/>
      <c r="C128" s="23"/>
      <c r="D128" s="24"/>
      <c r="E128" s="24"/>
      <c r="F128" s="23"/>
      <c r="G128" s="23"/>
      <c r="H128" s="45"/>
      <c r="I128" s="45"/>
    </row>
    <row r="129" ht="15.75" customHeight="1">
      <c r="A129" s="25"/>
      <c r="B129" s="25"/>
      <c r="C129" s="25"/>
      <c r="D129" s="26"/>
      <c r="E129" s="26"/>
      <c r="F129" s="25"/>
      <c r="G129" s="25"/>
      <c r="H129" s="43"/>
      <c r="I129" s="43"/>
    </row>
    <row r="130" ht="15.75" customHeight="1">
      <c r="A130" s="23"/>
      <c r="B130" s="23"/>
      <c r="C130" s="23"/>
      <c r="D130" s="24"/>
      <c r="E130" s="24"/>
      <c r="F130" s="23"/>
      <c r="G130" s="23"/>
      <c r="H130" s="45"/>
      <c r="I130" s="45"/>
    </row>
    <row r="131" ht="15.75" customHeight="1">
      <c r="A131" s="25"/>
      <c r="B131" s="25"/>
      <c r="C131" s="25"/>
      <c r="D131" s="26"/>
      <c r="E131" s="26"/>
      <c r="F131" s="25"/>
      <c r="G131" s="25"/>
      <c r="H131" s="43"/>
      <c r="I131" s="43"/>
    </row>
    <row r="132" ht="15.75" customHeight="1">
      <c r="A132" s="23"/>
      <c r="B132" s="23"/>
      <c r="C132" s="23"/>
      <c r="D132" s="24"/>
      <c r="E132" s="24"/>
      <c r="F132" s="23"/>
      <c r="G132" s="23"/>
      <c r="H132" s="45"/>
      <c r="I132" s="45"/>
    </row>
    <row r="133" ht="15.75" customHeight="1">
      <c r="A133" s="25"/>
      <c r="B133" s="25"/>
      <c r="C133" s="25"/>
      <c r="D133" s="26"/>
      <c r="E133" s="26"/>
      <c r="F133" s="25"/>
      <c r="G133" s="25"/>
      <c r="H133" s="43"/>
      <c r="I133" s="43"/>
    </row>
    <row r="134" ht="15.75" customHeight="1">
      <c r="A134" s="23"/>
      <c r="B134" s="23"/>
      <c r="C134" s="23"/>
      <c r="D134" s="24"/>
      <c r="E134" s="24"/>
      <c r="F134" s="23"/>
      <c r="G134" s="23"/>
      <c r="H134" s="45"/>
      <c r="I134" s="45"/>
    </row>
    <row r="135" ht="15.75" customHeight="1">
      <c r="A135" s="25"/>
      <c r="B135" s="25"/>
      <c r="C135" s="25"/>
      <c r="D135" s="26"/>
      <c r="E135" s="26"/>
      <c r="F135" s="25"/>
      <c r="G135" s="25"/>
      <c r="H135" s="43"/>
      <c r="I135" s="43"/>
    </row>
    <row r="136" ht="15.75" customHeight="1">
      <c r="A136" s="23"/>
      <c r="B136" s="23"/>
      <c r="C136" s="23"/>
      <c r="D136" s="24"/>
      <c r="E136" s="24"/>
      <c r="F136" s="23"/>
      <c r="G136" s="23"/>
      <c r="H136" s="45"/>
      <c r="I136" s="45"/>
    </row>
    <row r="137" ht="15.75" customHeight="1">
      <c r="A137" s="25"/>
      <c r="B137" s="25"/>
      <c r="C137" s="25"/>
      <c r="D137" s="26"/>
      <c r="E137" s="26"/>
      <c r="F137" s="25"/>
      <c r="G137" s="25"/>
      <c r="H137" s="43"/>
      <c r="I137" s="43"/>
    </row>
    <row r="138" ht="15.75" customHeight="1">
      <c r="A138" s="23"/>
      <c r="B138" s="23"/>
      <c r="C138" s="23"/>
      <c r="D138" s="24"/>
      <c r="E138" s="24"/>
      <c r="F138" s="23"/>
      <c r="G138" s="23"/>
      <c r="H138" s="45"/>
      <c r="I138" s="45"/>
    </row>
    <row r="139" ht="15.75" customHeight="1">
      <c r="A139" s="25"/>
      <c r="B139" s="25"/>
      <c r="C139" s="25"/>
      <c r="D139" s="26"/>
      <c r="E139" s="26"/>
      <c r="F139" s="25"/>
      <c r="G139" s="25"/>
      <c r="H139" s="43"/>
      <c r="I139" s="43"/>
    </row>
    <row r="140" ht="15.75" customHeight="1">
      <c r="A140" s="23"/>
      <c r="B140" s="23"/>
      <c r="C140" s="23"/>
      <c r="D140" s="24"/>
      <c r="E140" s="24"/>
      <c r="F140" s="23"/>
      <c r="G140" s="23"/>
      <c r="H140" s="45"/>
      <c r="I140" s="45"/>
    </row>
    <row r="141" ht="15.75" customHeight="1">
      <c r="A141" s="25"/>
      <c r="B141" s="25"/>
      <c r="C141" s="25"/>
      <c r="D141" s="26"/>
      <c r="E141" s="26"/>
      <c r="F141" s="25"/>
      <c r="G141" s="25"/>
      <c r="H141" s="43"/>
      <c r="I141" s="43"/>
    </row>
    <row r="142" ht="15.75" customHeight="1">
      <c r="A142" s="23"/>
      <c r="B142" s="23"/>
      <c r="C142" s="23"/>
      <c r="D142" s="24"/>
      <c r="E142" s="24"/>
      <c r="F142" s="23"/>
      <c r="G142" s="23"/>
      <c r="H142" s="45"/>
      <c r="I142" s="45"/>
    </row>
    <row r="143" ht="15.75" customHeight="1">
      <c r="A143" s="25"/>
      <c r="B143" s="25"/>
      <c r="C143" s="25"/>
      <c r="D143" s="26"/>
      <c r="E143" s="26"/>
      <c r="F143" s="25"/>
      <c r="G143" s="25"/>
      <c r="H143" s="43"/>
      <c r="I143" s="43"/>
    </row>
    <row r="144" ht="15.75" customHeight="1">
      <c r="A144" s="23"/>
      <c r="B144" s="23"/>
      <c r="C144" s="23"/>
      <c r="D144" s="24"/>
      <c r="E144" s="24"/>
      <c r="F144" s="23"/>
      <c r="G144" s="23"/>
      <c r="H144" s="45"/>
      <c r="I144" s="45"/>
    </row>
    <row r="145" ht="15.75" customHeight="1">
      <c r="A145" s="25"/>
      <c r="B145" s="25"/>
      <c r="C145" s="25"/>
      <c r="D145" s="26"/>
      <c r="E145" s="26"/>
      <c r="F145" s="25"/>
      <c r="G145" s="25"/>
      <c r="H145" s="43"/>
      <c r="I145" s="43"/>
    </row>
    <row r="146" ht="15.75" customHeight="1">
      <c r="A146" s="23"/>
      <c r="B146" s="23"/>
      <c r="C146" s="23"/>
      <c r="D146" s="24"/>
      <c r="E146" s="24"/>
      <c r="F146" s="23"/>
      <c r="G146" s="23"/>
      <c r="H146" s="45"/>
      <c r="I146" s="45"/>
    </row>
    <row r="147" ht="15.75" customHeight="1">
      <c r="A147" s="25"/>
      <c r="B147" s="25"/>
      <c r="C147" s="25"/>
      <c r="D147" s="26"/>
      <c r="E147" s="26"/>
      <c r="F147" s="25"/>
      <c r="G147" s="25"/>
      <c r="H147" s="43"/>
      <c r="I147" s="43"/>
    </row>
    <row r="148" ht="15.75" customHeight="1">
      <c r="A148" s="23"/>
      <c r="B148" s="23"/>
      <c r="C148" s="23"/>
      <c r="D148" s="24"/>
      <c r="E148" s="24"/>
      <c r="F148" s="23"/>
      <c r="G148" s="23"/>
      <c r="H148" s="45"/>
      <c r="I148" s="45"/>
    </row>
    <row r="149" ht="15.75" customHeight="1">
      <c r="A149" s="25"/>
      <c r="B149" s="25"/>
      <c r="C149" s="25"/>
      <c r="D149" s="26"/>
      <c r="E149" s="26"/>
      <c r="F149" s="25"/>
      <c r="G149" s="25"/>
      <c r="H149" s="43"/>
      <c r="I149" s="43"/>
    </row>
    <row r="150" ht="15.75" customHeight="1">
      <c r="A150" s="23"/>
      <c r="B150" s="23"/>
      <c r="C150" s="23"/>
      <c r="D150" s="24"/>
      <c r="E150" s="24"/>
      <c r="F150" s="23"/>
      <c r="G150" s="23"/>
      <c r="H150" s="45"/>
      <c r="I150" s="45"/>
    </row>
    <row r="151" ht="15.75" customHeight="1">
      <c r="A151" s="25"/>
      <c r="B151" s="25"/>
      <c r="C151" s="25"/>
      <c r="D151" s="26"/>
      <c r="E151" s="26"/>
      <c r="F151" s="25"/>
      <c r="G151" s="25"/>
      <c r="H151" s="43"/>
      <c r="I151" s="43"/>
    </row>
    <row r="152" ht="15.75" customHeight="1">
      <c r="A152" s="23"/>
      <c r="B152" s="23"/>
      <c r="C152" s="23"/>
      <c r="D152" s="24"/>
      <c r="E152" s="24"/>
      <c r="F152" s="23"/>
      <c r="G152" s="23"/>
      <c r="H152" s="45"/>
      <c r="I152" s="45"/>
    </row>
    <row r="153" ht="15.75" customHeight="1">
      <c r="A153" s="25"/>
      <c r="B153" s="25"/>
      <c r="C153" s="25"/>
      <c r="D153" s="26"/>
      <c r="E153" s="26"/>
      <c r="F153" s="25"/>
      <c r="G153" s="25"/>
      <c r="H153" s="43"/>
      <c r="I153" s="43"/>
    </row>
    <row r="154" ht="15.75" customHeight="1">
      <c r="A154" s="23"/>
      <c r="B154" s="23"/>
      <c r="C154" s="23"/>
      <c r="D154" s="24"/>
      <c r="E154" s="24"/>
      <c r="F154" s="23"/>
      <c r="G154" s="23"/>
      <c r="H154" s="45"/>
      <c r="I154" s="45"/>
    </row>
    <row r="155" ht="15.75" customHeight="1">
      <c r="A155" s="25"/>
      <c r="B155" s="25"/>
      <c r="C155" s="25"/>
      <c r="D155" s="26"/>
      <c r="E155" s="26"/>
      <c r="F155" s="25"/>
      <c r="G155" s="25"/>
      <c r="H155" s="43"/>
      <c r="I155" s="43"/>
    </row>
    <row r="156" ht="15.75" customHeight="1">
      <c r="A156" s="23"/>
      <c r="B156" s="23"/>
      <c r="C156" s="23"/>
      <c r="D156" s="24"/>
      <c r="E156" s="24"/>
      <c r="F156" s="23"/>
      <c r="G156" s="23"/>
      <c r="H156" s="45"/>
      <c r="I156" s="45"/>
    </row>
    <row r="157" ht="15.75" customHeight="1">
      <c r="A157" s="25"/>
      <c r="B157" s="25"/>
      <c r="C157" s="25"/>
      <c r="D157" s="26"/>
      <c r="E157" s="26"/>
      <c r="F157" s="25"/>
      <c r="G157" s="25"/>
      <c r="H157" s="43"/>
      <c r="I157" s="43"/>
    </row>
    <row r="158" ht="15.75" customHeight="1">
      <c r="A158" s="23"/>
      <c r="B158" s="23"/>
      <c r="C158" s="23"/>
      <c r="D158" s="24"/>
      <c r="E158" s="24"/>
      <c r="F158" s="23"/>
      <c r="G158" s="23"/>
      <c r="H158" s="45"/>
      <c r="I158" s="45"/>
    </row>
    <row r="159" ht="15.75" customHeight="1">
      <c r="A159" s="25"/>
      <c r="B159" s="25"/>
      <c r="C159" s="25"/>
      <c r="D159" s="26"/>
      <c r="E159" s="26"/>
      <c r="F159" s="25"/>
      <c r="G159" s="25"/>
      <c r="H159" s="43"/>
      <c r="I159" s="43"/>
    </row>
    <row r="160" ht="15.75" customHeight="1">
      <c r="A160" s="23"/>
      <c r="B160" s="23"/>
      <c r="C160" s="23"/>
      <c r="D160" s="24"/>
      <c r="E160" s="24"/>
      <c r="F160" s="23"/>
      <c r="G160" s="23"/>
      <c r="H160" s="45"/>
      <c r="I160" s="45"/>
    </row>
    <row r="161" ht="15.75" customHeight="1">
      <c r="A161" s="25"/>
      <c r="B161" s="25"/>
      <c r="C161" s="25"/>
      <c r="D161" s="26"/>
      <c r="E161" s="26"/>
      <c r="F161" s="25"/>
      <c r="G161" s="25"/>
      <c r="H161" s="43"/>
      <c r="I161" s="43"/>
    </row>
    <row r="162" ht="15.75" customHeight="1">
      <c r="A162" s="23"/>
      <c r="B162" s="23"/>
      <c r="C162" s="23"/>
      <c r="D162" s="24"/>
      <c r="E162" s="24"/>
      <c r="F162" s="23"/>
      <c r="G162" s="23"/>
      <c r="H162" s="45"/>
      <c r="I162" s="45"/>
    </row>
    <row r="163" ht="15.75" customHeight="1">
      <c r="A163" s="25"/>
      <c r="B163" s="25"/>
      <c r="C163" s="25"/>
      <c r="D163" s="26"/>
      <c r="E163" s="26"/>
      <c r="F163" s="25"/>
      <c r="G163" s="25"/>
      <c r="H163" s="43"/>
      <c r="I163" s="43"/>
    </row>
    <row r="164" ht="15.75" customHeight="1">
      <c r="A164" s="23"/>
      <c r="B164" s="23"/>
      <c r="C164" s="23"/>
      <c r="D164" s="24"/>
      <c r="E164" s="24"/>
      <c r="F164" s="23"/>
      <c r="G164" s="23"/>
      <c r="H164" s="45"/>
      <c r="I164" s="45"/>
    </row>
    <row r="165" ht="15.75" customHeight="1">
      <c r="A165" s="25"/>
      <c r="B165" s="25"/>
      <c r="C165" s="25"/>
      <c r="D165" s="26"/>
      <c r="E165" s="26"/>
      <c r="F165" s="25"/>
      <c r="G165" s="25"/>
      <c r="H165" s="43"/>
      <c r="I165" s="43"/>
    </row>
    <row r="166" ht="15.75" customHeight="1">
      <c r="A166" s="23"/>
      <c r="B166" s="23"/>
      <c r="C166" s="23"/>
      <c r="D166" s="24"/>
      <c r="E166" s="24"/>
      <c r="F166" s="23"/>
      <c r="G166" s="23"/>
      <c r="H166" s="45"/>
      <c r="I166" s="45"/>
    </row>
    <row r="167" ht="15.75" customHeight="1">
      <c r="A167" s="25"/>
      <c r="B167" s="25"/>
      <c r="C167" s="25"/>
      <c r="D167" s="26"/>
      <c r="E167" s="26"/>
      <c r="F167" s="25"/>
      <c r="G167" s="25"/>
      <c r="H167" s="43"/>
      <c r="I167" s="43"/>
    </row>
    <row r="168" ht="15.75" customHeight="1">
      <c r="A168" s="23"/>
      <c r="B168" s="23"/>
      <c r="C168" s="23"/>
      <c r="D168" s="24"/>
      <c r="E168" s="24"/>
      <c r="F168" s="23"/>
      <c r="G168" s="23"/>
      <c r="H168" s="45"/>
      <c r="I168" s="45"/>
    </row>
    <row r="169" ht="15.75" customHeight="1">
      <c r="A169" s="25"/>
      <c r="B169" s="25"/>
      <c r="C169" s="25"/>
      <c r="D169" s="26"/>
      <c r="E169" s="26"/>
      <c r="F169" s="25"/>
      <c r="G169" s="25"/>
      <c r="H169" s="43"/>
      <c r="I169" s="43"/>
    </row>
    <row r="170" ht="15.75" customHeight="1">
      <c r="A170" s="23"/>
      <c r="B170" s="23"/>
      <c r="C170" s="23"/>
      <c r="D170" s="24"/>
      <c r="E170" s="24"/>
      <c r="F170" s="23"/>
      <c r="G170" s="23"/>
      <c r="H170" s="45"/>
      <c r="I170" s="45"/>
    </row>
    <row r="171" ht="15.75" customHeight="1">
      <c r="A171" s="25"/>
      <c r="B171" s="25"/>
      <c r="C171" s="25"/>
      <c r="D171" s="26"/>
      <c r="E171" s="26"/>
      <c r="F171" s="25"/>
      <c r="G171" s="25"/>
      <c r="H171" s="43"/>
      <c r="I171" s="43"/>
    </row>
    <row r="172" ht="15.75" customHeight="1">
      <c r="A172" s="23"/>
      <c r="B172" s="23"/>
      <c r="C172" s="23"/>
      <c r="D172" s="24"/>
      <c r="E172" s="24"/>
      <c r="F172" s="23"/>
      <c r="G172" s="23"/>
      <c r="H172" s="45"/>
      <c r="I172" s="45"/>
    </row>
    <row r="173" ht="15.75" customHeight="1">
      <c r="A173" s="25"/>
      <c r="B173" s="25"/>
      <c r="C173" s="25"/>
      <c r="D173" s="26"/>
      <c r="E173" s="26"/>
      <c r="F173" s="25"/>
      <c r="G173" s="25"/>
      <c r="H173" s="43"/>
      <c r="I173" s="43"/>
    </row>
    <row r="174" ht="15.75" customHeight="1">
      <c r="A174" s="23"/>
      <c r="B174" s="23"/>
      <c r="C174" s="23"/>
      <c r="D174" s="24"/>
      <c r="E174" s="24"/>
      <c r="F174" s="23"/>
      <c r="G174" s="23"/>
      <c r="H174" s="45"/>
      <c r="I174" s="45"/>
    </row>
    <row r="175" ht="15.75" customHeight="1">
      <c r="A175" s="25"/>
      <c r="B175" s="25"/>
      <c r="C175" s="25"/>
      <c r="D175" s="26"/>
      <c r="E175" s="26"/>
      <c r="F175" s="25"/>
      <c r="G175" s="25"/>
      <c r="H175" s="43"/>
      <c r="I175" s="43"/>
    </row>
    <row r="176" ht="15.75" customHeight="1">
      <c r="A176" s="23"/>
      <c r="B176" s="23"/>
      <c r="C176" s="23"/>
      <c r="D176" s="24"/>
      <c r="E176" s="24"/>
      <c r="F176" s="23"/>
      <c r="G176" s="23"/>
      <c r="H176" s="45"/>
      <c r="I176" s="45"/>
    </row>
    <row r="177" ht="15.75" customHeight="1">
      <c r="A177" s="25"/>
      <c r="B177" s="25"/>
      <c r="C177" s="25"/>
      <c r="D177" s="26"/>
      <c r="E177" s="26"/>
      <c r="F177" s="25"/>
      <c r="G177" s="25"/>
      <c r="H177" s="43"/>
      <c r="I177" s="43"/>
    </row>
    <row r="178" ht="15.75" customHeight="1">
      <c r="A178" s="23"/>
      <c r="B178" s="23"/>
      <c r="C178" s="23"/>
      <c r="D178" s="24"/>
      <c r="E178" s="24"/>
      <c r="F178" s="23"/>
      <c r="G178" s="23"/>
      <c r="H178" s="45"/>
      <c r="I178" s="45"/>
    </row>
    <row r="179" ht="15.75" customHeight="1">
      <c r="A179" s="25"/>
      <c r="B179" s="25"/>
      <c r="C179" s="25"/>
      <c r="D179" s="26"/>
      <c r="E179" s="26"/>
      <c r="F179" s="25"/>
      <c r="G179" s="25"/>
      <c r="H179" s="43"/>
      <c r="I179" s="43"/>
    </row>
    <row r="180" ht="15.75" customHeight="1">
      <c r="A180" s="23"/>
      <c r="B180" s="23"/>
      <c r="C180" s="23"/>
      <c r="D180" s="24"/>
      <c r="E180" s="24"/>
      <c r="F180" s="23"/>
      <c r="G180" s="23"/>
      <c r="H180" s="45"/>
      <c r="I180" s="45"/>
    </row>
    <row r="181" ht="15.75" customHeight="1">
      <c r="A181" s="25"/>
      <c r="B181" s="25"/>
      <c r="C181" s="25"/>
      <c r="D181" s="26"/>
      <c r="E181" s="26"/>
      <c r="F181" s="25"/>
      <c r="G181" s="25"/>
      <c r="H181" s="43"/>
      <c r="I181" s="43"/>
    </row>
    <row r="182" ht="15.75" customHeight="1">
      <c r="A182" s="23"/>
      <c r="B182" s="23"/>
      <c r="C182" s="23"/>
      <c r="D182" s="24"/>
      <c r="E182" s="24"/>
      <c r="F182" s="23"/>
      <c r="G182" s="23"/>
      <c r="H182" s="45"/>
      <c r="I182" s="45"/>
    </row>
    <row r="183" ht="15.75" customHeight="1">
      <c r="A183" s="25"/>
      <c r="B183" s="25"/>
      <c r="C183" s="25"/>
      <c r="D183" s="26"/>
      <c r="E183" s="26"/>
      <c r="F183" s="25"/>
      <c r="G183" s="25"/>
      <c r="H183" s="43"/>
      <c r="I183" s="43"/>
    </row>
    <row r="184" ht="15.75" customHeight="1">
      <c r="A184" s="23"/>
      <c r="B184" s="23"/>
      <c r="C184" s="23"/>
      <c r="D184" s="24"/>
      <c r="E184" s="24"/>
      <c r="F184" s="23"/>
      <c r="G184" s="23"/>
      <c r="H184" s="45"/>
      <c r="I184" s="45"/>
    </row>
    <row r="185" ht="15.75" customHeight="1">
      <c r="A185" s="25"/>
      <c r="B185" s="25"/>
      <c r="C185" s="25"/>
      <c r="D185" s="26"/>
      <c r="E185" s="26"/>
      <c r="F185" s="25"/>
      <c r="G185" s="25"/>
      <c r="H185" s="43"/>
      <c r="I185" s="43"/>
    </row>
    <row r="186" ht="15.75" customHeight="1">
      <c r="A186" s="23"/>
      <c r="B186" s="23"/>
      <c r="C186" s="23"/>
      <c r="D186" s="24"/>
      <c r="E186" s="24"/>
      <c r="F186" s="23"/>
      <c r="G186" s="23"/>
      <c r="H186" s="45"/>
      <c r="I186" s="45"/>
    </row>
    <row r="187" ht="15.75" customHeight="1">
      <c r="A187" s="25"/>
      <c r="B187" s="25"/>
      <c r="C187" s="25"/>
      <c r="D187" s="26"/>
      <c r="E187" s="26"/>
      <c r="F187" s="25"/>
      <c r="G187" s="25"/>
      <c r="H187" s="43"/>
      <c r="I187" s="43"/>
    </row>
    <row r="188" ht="15.75" customHeight="1">
      <c r="A188" s="23"/>
      <c r="B188" s="23"/>
      <c r="C188" s="23"/>
      <c r="D188" s="24"/>
      <c r="E188" s="24"/>
      <c r="F188" s="23"/>
      <c r="G188" s="23"/>
      <c r="H188" s="45"/>
      <c r="I188" s="45"/>
    </row>
    <row r="189" ht="15.75" customHeight="1">
      <c r="A189" s="25"/>
      <c r="B189" s="25"/>
      <c r="C189" s="25"/>
      <c r="D189" s="26"/>
      <c r="E189" s="26"/>
      <c r="F189" s="25"/>
      <c r="G189" s="25"/>
      <c r="H189" s="43"/>
      <c r="I189" s="43"/>
    </row>
    <row r="190" ht="15.75" customHeight="1">
      <c r="A190" s="23"/>
      <c r="B190" s="23"/>
      <c r="C190" s="23"/>
      <c r="D190" s="24"/>
      <c r="E190" s="24"/>
      <c r="F190" s="23"/>
      <c r="G190" s="23"/>
      <c r="H190" s="45"/>
      <c r="I190" s="45"/>
    </row>
    <row r="191" ht="15.75" customHeight="1">
      <c r="A191" s="25"/>
      <c r="B191" s="25"/>
      <c r="C191" s="25"/>
      <c r="D191" s="26"/>
      <c r="E191" s="26"/>
      <c r="F191" s="25"/>
      <c r="G191" s="25"/>
      <c r="H191" s="43"/>
      <c r="I191" s="43"/>
    </row>
    <row r="192" ht="15.75" customHeight="1">
      <c r="A192" s="23"/>
      <c r="B192" s="23"/>
      <c r="C192" s="23"/>
      <c r="D192" s="24"/>
      <c r="E192" s="24"/>
      <c r="F192" s="23"/>
      <c r="G192" s="23"/>
      <c r="H192" s="45"/>
      <c r="I192" s="45"/>
    </row>
    <row r="193" ht="15.75" customHeight="1">
      <c r="A193" s="25"/>
      <c r="B193" s="25"/>
      <c r="C193" s="25"/>
      <c r="D193" s="26"/>
      <c r="E193" s="26"/>
      <c r="F193" s="25"/>
      <c r="G193" s="25"/>
      <c r="H193" s="43"/>
      <c r="I193" s="43"/>
    </row>
    <row r="194" ht="15.75" customHeight="1">
      <c r="A194" s="23"/>
      <c r="B194" s="23"/>
      <c r="C194" s="23"/>
      <c r="D194" s="24"/>
      <c r="E194" s="24"/>
      <c r="F194" s="23"/>
      <c r="G194" s="23"/>
      <c r="H194" s="45"/>
      <c r="I194" s="45"/>
    </row>
    <row r="195" ht="15.75" customHeight="1">
      <c r="A195" s="25"/>
      <c r="B195" s="25"/>
      <c r="C195" s="25"/>
      <c r="D195" s="26"/>
      <c r="E195" s="26"/>
      <c r="F195" s="25"/>
      <c r="G195" s="25"/>
      <c r="H195" s="43"/>
      <c r="I195" s="43"/>
    </row>
    <row r="196" ht="15.75" customHeight="1">
      <c r="A196" s="23"/>
      <c r="B196" s="23"/>
      <c r="C196" s="23"/>
      <c r="D196" s="24"/>
      <c r="E196" s="24"/>
      <c r="F196" s="23"/>
      <c r="G196" s="23"/>
      <c r="H196" s="45"/>
      <c r="I196" s="45"/>
    </row>
    <row r="197" ht="15.75" customHeight="1">
      <c r="A197" s="25"/>
      <c r="B197" s="25"/>
      <c r="C197" s="25"/>
      <c r="D197" s="26"/>
      <c r="E197" s="26"/>
      <c r="F197" s="25"/>
      <c r="G197" s="25"/>
      <c r="H197" s="43"/>
      <c r="I197" s="43"/>
    </row>
    <row r="198" ht="15.75" customHeight="1">
      <c r="A198" s="23"/>
      <c r="B198" s="23"/>
      <c r="C198" s="23"/>
      <c r="D198" s="24"/>
      <c r="E198" s="24"/>
      <c r="F198" s="23"/>
      <c r="G198" s="23"/>
      <c r="H198" s="45"/>
      <c r="I198" s="45"/>
    </row>
    <row r="199" ht="15.75" customHeight="1">
      <c r="A199" s="25"/>
      <c r="B199" s="25"/>
      <c r="C199" s="25"/>
      <c r="D199" s="26"/>
      <c r="E199" s="26"/>
      <c r="F199" s="25"/>
      <c r="G199" s="25"/>
      <c r="H199" s="43"/>
      <c r="I199" s="43"/>
    </row>
    <row r="200" ht="15.75" customHeight="1">
      <c r="A200" s="23"/>
      <c r="B200" s="23"/>
      <c r="C200" s="23"/>
      <c r="D200" s="24"/>
      <c r="E200" s="24"/>
      <c r="F200" s="23"/>
      <c r="G200" s="23"/>
      <c r="H200" s="45"/>
      <c r="I200" s="45"/>
    </row>
    <row r="201" ht="15.75" customHeight="1">
      <c r="A201" s="25"/>
      <c r="B201" s="25"/>
      <c r="C201" s="25"/>
      <c r="D201" s="26"/>
      <c r="E201" s="26"/>
      <c r="F201" s="25"/>
      <c r="G201" s="25"/>
      <c r="H201" s="43"/>
      <c r="I201" s="43"/>
    </row>
    <row r="202" ht="15.75" customHeight="1">
      <c r="A202" s="23"/>
      <c r="B202" s="23"/>
      <c r="C202" s="23"/>
      <c r="D202" s="24"/>
      <c r="E202" s="24"/>
      <c r="F202" s="23"/>
      <c r="G202" s="23"/>
      <c r="H202" s="45"/>
      <c r="I202" s="45"/>
    </row>
    <row r="203" ht="15.75" customHeight="1">
      <c r="A203" s="25"/>
      <c r="B203" s="25"/>
      <c r="C203" s="25"/>
      <c r="D203" s="26"/>
      <c r="E203" s="26"/>
      <c r="F203" s="25"/>
      <c r="G203" s="25"/>
      <c r="H203" s="43"/>
      <c r="I203" s="43"/>
    </row>
    <row r="204" ht="15.75" customHeight="1">
      <c r="A204" s="23"/>
      <c r="B204" s="23"/>
      <c r="C204" s="23"/>
      <c r="D204" s="24"/>
      <c r="E204" s="24"/>
      <c r="F204" s="23"/>
      <c r="G204" s="23"/>
      <c r="H204" s="45"/>
      <c r="I204" s="45"/>
    </row>
    <row r="205" ht="15.75" customHeight="1">
      <c r="A205" s="25"/>
      <c r="B205" s="25"/>
      <c r="C205" s="25"/>
      <c r="D205" s="26"/>
      <c r="E205" s="26"/>
      <c r="F205" s="25"/>
      <c r="G205" s="25"/>
      <c r="H205" s="43"/>
      <c r="I205" s="43"/>
    </row>
    <row r="206" ht="15.75" customHeight="1">
      <c r="A206" s="23"/>
      <c r="B206" s="23"/>
      <c r="C206" s="23"/>
      <c r="D206" s="24"/>
      <c r="E206" s="24"/>
      <c r="F206" s="23"/>
      <c r="G206" s="23"/>
      <c r="H206" s="45"/>
      <c r="I206" s="45"/>
    </row>
    <row r="207" ht="15.75" customHeight="1">
      <c r="A207" s="25"/>
      <c r="B207" s="25"/>
      <c r="C207" s="25"/>
      <c r="D207" s="26"/>
      <c r="E207" s="26"/>
      <c r="F207" s="25"/>
      <c r="G207" s="25"/>
      <c r="H207" s="43"/>
      <c r="I207" s="43"/>
    </row>
    <row r="208" ht="15.75" customHeight="1">
      <c r="A208" s="23"/>
      <c r="B208" s="23"/>
      <c r="C208" s="23"/>
      <c r="D208" s="24"/>
      <c r="E208" s="24"/>
      <c r="F208" s="23"/>
      <c r="G208" s="23"/>
      <c r="H208" s="45"/>
      <c r="I208" s="45"/>
    </row>
    <row r="209" ht="15.75" customHeight="1">
      <c r="A209" s="25"/>
      <c r="B209" s="25"/>
      <c r="C209" s="25"/>
      <c r="D209" s="26"/>
      <c r="E209" s="26"/>
      <c r="F209" s="25"/>
      <c r="G209" s="25"/>
      <c r="H209" s="43"/>
      <c r="I209" s="43"/>
    </row>
    <row r="210" ht="15.75" customHeight="1">
      <c r="A210" s="23"/>
      <c r="B210" s="23"/>
      <c r="C210" s="23"/>
      <c r="D210" s="24"/>
      <c r="E210" s="24"/>
      <c r="F210" s="23"/>
      <c r="G210" s="23"/>
      <c r="H210" s="45"/>
      <c r="I210" s="45"/>
    </row>
    <row r="211" ht="15.75" customHeight="1">
      <c r="A211" s="25"/>
      <c r="B211" s="25"/>
      <c r="C211" s="25"/>
      <c r="D211" s="26"/>
      <c r="E211" s="26"/>
      <c r="F211" s="25"/>
      <c r="G211" s="25"/>
      <c r="H211" s="43"/>
      <c r="I211" s="43"/>
    </row>
    <row r="212" ht="15.75" customHeight="1">
      <c r="A212" s="23"/>
      <c r="B212" s="23"/>
      <c r="C212" s="23"/>
      <c r="D212" s="24"/>
      <c r="E212" s="24"/>
      <c r="F212" s="23"/>
      <c r="G212" s="23"/>
      <c r="H212" s="45"/>
      <c r="I212" s="45"/>
    </row>
    <row r="213" ht="15.75" customHeight="1">
      <c r="A213" s="25"/>
      <c r="B213" s="25"/>
      <c r="C213" s="25"/>
      <c r="D213" s="26"/>
      <c r="E213" s="26"/>
      <c r="F213" s="25"/>
      <c r="G213" s="25"/>
      <c r="H213" s="43"/>
      <c r="I213" s="43"/>
    </row>
    <row r="214" ht="15.75" customHeight="1">
      <c r="A214" s="23"/>
      <c r="B214" s="23"/>
      <c r="C214" s="23"/>
      <c r="D214" s="24"/>
      <c r="E214" s="24"/>
      <c r="F214" s="23"/>
      <c r="G214" s="23"/>
      <c r="H214" s="45"/>
      <c r="I214" s="45"/>
    </row>
    <row r="215" ht="15.75" customHeight="1">
      <c r="A215" s="25"/>
      <c r="B215" s="25"/>
      <c r="C215" s="25"/>
      <c r="D215" s="26"/>
      <c r="E215" s="26"/>
      <c r="F215" s="25"/>
      <c r="G215" s="25"/>
      <c r="H215" s="43"/>
      <c r="I215" s="43"/>
    </row>
    <row r="216" ht="15.75" customHeight="1">
      <c r="A216" s="23"/>
      <c r="B216" s="23"/>
      <c r="C216" s="23"/>
      <c r="D216" s="24"/>
      <c r="E216" s="24"/>
      <c r="F216" s="23"/>
      <c r="G216" s="23"/>
      <c r="H216" s="45"/>
      <c r="I216" s="45"/>
    </row>
    <row r="217" ht="15.75" customHeight="1">
      <c r="A217" s="25"/>
      <c r="B217" s="25"/>
      <c r="C217" s="25"/>
      <c r="D217" s="26"/>
      <c r="E217" s="26"/>
      <c r="F217" s="25"/>
      <c r="G217" s="25"/>
      <c r="H217" s="43"/>
      <c r="I217" s="43"/>
    </row>
    <row r="218" ht="15.75" customHeight="1">
      <c r="A218" s="23"/>
      <c r="B218" s="23"/>
      <c r="C218" s="23"/>
      <c r="D218" s="24"/>
      <c r="E218" s="24"/>
      <c r="F218" s="23"/>
      <c r="G218" s="23"/>
      <c r="H218" s="45"/>
      <c r="I218" s="45"/>
    </row>
    <row r="219" ht="15.75" customHeight="1">
      <c r="F219" s="47"/>
    </row>
    <row r="220" ht="15.75" customHeight="1">
      <c r="F220" s="47"/>
    </row>
    <row r="221" ht="15.75" customHeight="1">
      <c r="F221" s="47"/>
    </row>
    <row r="222" ht="15.75" customHeight="1">
      <c r="F222" s="47"/>
    </row>
    <row r="223" ht="15.75" customHeight="1">
      <c r="F223" s="47"/>
    </row>
    <row r="224" ht="15.75" customHeight="1">
      <c r="F224" s="47"/>
    </row>
    <row r="225" ht="15.75" customHeight="1">
      <c r="F225" s="47"/>
    </row>
    <row r="226" ht="15.75" customHeight="1">
      <c r="F226" s="47"/>
    </row>
    <row r="227" ht="15.75" customHeight="1">
      <c r="F227" s="47"/>
    </row>
    <row r="228" ht="15.75" customHeight="1">
      <c r="F228" s="47"/>
    </row>
    <row r="229" ht="15.75" customHeight="1">
      <c r="F229" s="47"/>
    </row>
    <row r="230" ht="15.75" customHeight="1">
      <c r="F230" s="47"/>
    </row>
    <row r="231" ht="15.75" customHeight="1">
      <c r="F231" s="47"/>
    </row>
    <row r="232" ht="15.75" customHeight="1">
      <c r="F232" s="47"/>
    </row>
    <row r="233" ht="15.75" customHeight="1">
      <c r="F233" s="47"/>
    </row>
    <row r="234" ht="15.75" customHeight="1">
      <c r="F234" s="47"/>
    </row>
    <row r="235" ht="15.75" customHeight="1">
      <c r="F235" s="47"/>
    </row>
    <row r="236" ht="15.75" customHeight="1">
      <c r="F236" s="47"/>
    </row>
    <row r="237" ht="15.75" customHeight="1">
      <c r="F237" s="47"/>
    </row>
    <row r="238" ht="15.75" customHeight="1">
      <c r="F238" s="47"/>
    </row>
    <row r="239" ht="15.75" customHeight="1">
      <c r="F239" s="47"/>
    </row>
    <row r="240" ht="15.75" customHeight="1">
      <c r="F240" s="47"/>
    </row>
    <row r="241" ht="15.75" customHeight="1">
      <c r="F241" s="47"/>
    </row>
    <row r="242" ht="15.75" customHeight="1">
      <c r="F242" s="47"/>
    </row>
    <row r="243" ht="15.75" customHeight="1">
      <c r="F243" s="47"/>
    </row>
    <row r="244" ht="15.75" customHeight="1">
      <c r="F244" s="47"/>
    </row>
    <row r="245" ht="15.75" customHeight="1">
      <c r="F245" s="47"/>
    </row>
    <row r="246" ht="15.75" customHeight="1">
      <c r="F246" s="47"/>
    </row>
    <row r="247" ht="15.75" customHeight="1">
      <c r="F247" s="47"/>
    </row>
    <row r="248" ht="15.75" customHeight="1">
      <c r="F248" s="47"/>
    </row>
    <row r="249" ht="15.75" customHeight="1">
      <c r="F249" s="47"/>
    </row>
    <row r="250" ht="15.75" customHeight="1">
      <c r="F250" s="47"/>
    </row>
    <row r="251" ht="15.75" customHeight="1">
      <c r="F251" s="47"/>
    </row>
    <row r="252" ht="15.75" customHeight="1">
      <c r="F252" s="47"/>
    </row>
    <row r="253" ht="15.75" customHeight="1">
      <c r="F253" s="47"/>
    </row>
    <row r="254" ht="15.75" customHeight="1">
      <c r="F254" s="47"/>
    </row>
    <row r="255" ht="15.75" customHeight="1">
      <c r="F255" s="47"/>
    </row>
    <row r="256" ht="15.75" customHeight="1">
      <c r="F256" s="47"/>
    </row>
    <row r="257" ht="15.75" customHeight="1">
      <c r="F257" s="47"/>
    </row>
    <row r="258" ht="15.75" customHeight="1">
      <c r="F258" s="47"/>
    </row>
    <row r="259" ht="15.75" customHeight="1">
      <c r="F259" s="47"/>
    </row>
    <row r="260" ht="15.75" customHeight="1">
      <c r="F260" s="47"/>
    </row>
    <row r="261" ht="15.75" customHeight="1">
      <c r="F261" s="47"/>
    </row>
    <row r="262" ht="15.75" customHeight="1">
      <c r="F262" s="47"/>
    </row>
    <row r="263" ht="15.75" customHeight="1">
      <c r="F263" s="47"/>
    </row>
    <row r="264" ht="15.75" customHeight="1">
      <c r="F264" s="47"/>
    </row>
    <row r="265" ht="15.75" customHeight="1">
      <c r="F265" s="47"/>
    </row>
    <row r="266" ht="15.75" customHeight="1">
      <c r="F266" s="47"/>
    </row>
    <row r="267" ht="15.75" customHeight="1">
      <c r="F267" s="47"/>
    </row>
    <row r="268" ht="15.75" customHeight="1">
      <c r="F268" s="47"/>
    </row>
    <row r="269" ht="15.75" customHeight="1">
      <c r="F269" s="47"/>
    </row>
    <row r="270" ht="15.75" customHeight="1">
      <c r="F270" s="47"/>
    </row>
    <row r="271" ht="15.75" customHeight="1">
      <c r="F271" s="47"/>
    </row>
    <row r="272" ht="15.75" customHeight="1">
      <c r="F272" s="47"/>
    </row>
    <row r="273" ht="15.75" customHeight="1">
      <c r="F273" s="47"/>
    </row>
    <row r="274" ht="15.75" customHeight="1">
      <c r="F274" s="47"/>
    </row>
    <row r="275" ht="15.75" customHeight="1">
      <c r="F275" s="47"/>
    </row>
    <row r="276" ht="15.75" customHeight="1">
      <c r="F276" s="47"/>
    </row>
    <row r="277" ht="15.75" customHeight="1">
      <c r="F277" s="47"/>
    </row>
    <row r="278" ht="15.75" customHeight="1">
      <c r="F278" s="47"/>
    </row>
    <row r="279" ht="15.75" customHeight="1">
      <c r="F279" s="47"/>
    </row>
    <row r="280" ht="15.75" customHeight="1">
      <c r="F280" s="47"/>
    </row>
    <row r="281" ht="15.75" customHeight="1">
      <c r="F281" s="47"/>
    </row>
    <row r="282" ht="15.75" customHeight="1">
      <c r="F282" s="47"/>
    </row>
    <row r="283" ht="15.75" customHeight="1">
      <c r="F283" s="47"/>
    </row>
    <row r="284" ht="15.75" customHeight="1">
      <c r="F284" s="47"/>
    </row>
    <row r="285" ht="15.75" customHeight="1">
      <c r="F285" s="47"/>
    </row>
    <row r="286" ht="15.75" customHeight="1">
      <c r="F286" s="47"/>
    </row>
    <row r="287" ht="15.75" customHeight="1">
      <c r="F287" s="47"/>
    </row>
    <row r="288" ht="15.75" customHeight="1">
      <c r="F288" s="47"/>
    </row>
    <row r="289" ht="15.75" customHeight="1">
      <c r="F289" s="47"/>
    </row>
    <row r="290" ht="15.75" customHeight="1">
      <c r="F290" s="47"/>
    </row>
    <row r="291" ht="15.75" customHeight="1">
      <c r="F291" s="47"/>
    </row>
    <row r="292" ht="15.75" customHeight="1">
      <c r="F292" s="47"/>
    </row>
    <row r="293" ht="15.75" customHeight="1">
      <c r="F293" s="47"/>
    </row>
    <row r="294" ht="15.75" customHeight="1">
      <c r="F294" s="47"/>
    </row>
    <row r="295" ht="15.75" customHeight="1">
      <c r="F295" s="47"/>
    </row>
    <row r="296" ht="15.75" customHeight="1">
      <c r="F296" s="47"/>
    </row>
    <row r="297" ht="15.75" customHeight="1">
      <c r="F297" s="47"/>
    </row>
    <row r="298" ht="15.75" customHeight="1">
      <c r="F298" s="47"/>
    </row>
    <row r="299" ht="15.75" customHeight="1">
      <c r="F299" s="47"/>
    </row>
    <row r="300" ht="15.75" customHeight="1">
      <c r="F300" s="47"/>
    </row>
    <row r="301" ht="15.75" customHeight="1">
      <c r="F301" s="47"/>
    </row>
    <row r="302" ht="15.75" customHeight="1">
      <c r="F302" s="47"/>
    </row>
    <row r="303" ht="15.75" customHeight="1">
      <c r="F303" s="47"/>
    </row>
    <row r="304" ht="15.75" customHeight="1">
      <c r="F304" s="47"/>
    </row>
    <row r="305" ht="15.75" customHeight="1">
      <c r="F305" s="47"/>
    </row>
    <row r="306" ht="15.75" customHeight="1">
      <c r="F306" s="47"/>
    </row>
    <row r="307" ht="15.75" customHeight="1">
      <c r="F307" s="47"/>
    </row>
    <row r="308" ht="15.75" customHeight="1">
      <c r="F308" s="47"/>
    </row>
    <row r="309" ht="15.75" customHeight="1">
      <c r="F309" s="47"/>
    </row>
    <row r="310" ht="15.75" customHeight="1">
      <c r="F310" s="47"/>
    </row>
    <row r="311" ht="15.75" customHeight="1">
      <c r="F311" s="47"/>
    </row>
    <row r="312" ht="15.75" customHeight="1">
      <c r="F312" s="47"/>
    </row>
    <row r="313" ht="15.75" customHeight="1">
      <c r="F313" s="47"/>
    </row>
    <row r="314" ht="15.75" customHeight="1">
      <c r="F314" s="47"/>
    </row>
    <row r="315" ht="15.75" customHeight="1">
      <c r="F315" s="47"/>
    </row>
    <row r="316" ht="15.75" customHeight="1">
      <c r="F316" s="47"/>
    </row>
    <row r="317" ht="15.75" customHeight="1">
      <c r="F317" s="47"/>
    </row>
    <row r="318" ht="15.75" customHeight="1">
      <c r="F318" s="47"/>
    </row>
    <row r="319" ht="15.75" customHeight="1">
      <c r="F319" s="47"/>
    </row>
    <row r="320" ht="15.75" customHeight="1">
      <c r="F320" s="47"/>
    </row>
    <row r="321" ht="15.75" customHeight="1">
      <c r="F321" s="47"/>
    </row>
    <row r="322" ht="15.75" customHeight="1">
      <c r="F322" s="47"/>
    </row>
    <row r="323" ht="15.75" customHeight="1">
      <c r="F323" s="47"/>
    </row>
    <row r="324" ht="15.75" customHeight="1">
      <c r="F324" s="47"/>
    </row>
    <row r="325" ht="15.75" customHeight="1">
      <c r="F325" s="47"/>
    </row>
    <row r="326" ht="15.75" customHeight="1">
      <c r="F326" s="47"/>
    </row>
    <row r="327" ht="15.75" customHeight="1">
      <c r="F327" s="47"/>
    </row>
    <row r="328" ht="15.75" customHeight="1">
      <c r="F328" s="47"/>
    </row>
    <row r="329" ht="15.75" customHeight="1">
      <c r="F329" s="47"/>
    </row>
    <row r="330" ht="15.75" customHeight="1">
      <c r="F330" s="47"/>
    </row>
    <row r="331" ht="15.75" customHeight="1">
      <c r="F331" s="47"/>
    </row>
    <row r="332" ht="15.75" customHeight="1">
      <c r="F332" s="47"/>
    </row>
    <row r="333" ht="15.75" customHeight="1">
      <c r="F333" s="47"/>
    </row>
    <row r="334" ht="15.75" customHeight="1">
      <c r="F334" s="47"/>
    </row>
    <row r="335" ht="15.75" customHeight="1">
      <c r="F335" s="47"/>
    </row>
    <row r="336" ht="15.75" customHeight="1">
      <c r="F336" s="47"/>
    </row>
    <row r="337" ht="15.75" customHeight="1">
      <c r="F337" s="47"/>
    </row>
    <row r="338" ht="15.75" customHeight="1">
      <c r="F338" s="47"/>
    </row>
    <row r="339" ht="15.75" customHeight="1">
      <c r="F339" s="47"/>
    </row>
    <row r="340" ht="15.75" customHeight="1">
      <c r="F340" s="47"/>
    </row>
    <row r="341" ht="15.75" customHeight="1">
      <c r="F341" s="47"/>
    </row>
    <row r="342" ht="15.75" customHeight="1">
      <c r="F342" s="47"/>
    </row>
    <row r="343" ht="15.75" customHeight="1">
      <c r="F343" s="47"/>
    </row>
    <row r="344" ht="15.75" customHeight="1">
      <c r="F344" s="47"/>
    </row>
    <row r="345" ht="15.75" customHeight="1">
      <c r="F345" s="47"/>
    </row>
    <row r="346" ht="15.75" customHeight="1">
      <c r="F346" s="47"/>
    </row>
    <row r="347" ht="15.75" customHeight="1">
      <c r="F347" s="47"/>
    </row>
    <row r="348" ht="15.75" customHeight="1">
      <c r="F348" s="47"/>
    </row>
    <row r="349" ht="15.75" customHeight="1">
      <c r="F349" s="47"/>
    </row>
    <row r="350" ht="15.75" customHeight="1">
      <c r="F350" s="47"/>
    </row>
    <row r="351" ht="15.75" customHeight="1">
      <c r="F351" s="47"/>
    </row>
    <row r="352" ht="15.75" customHeight="1">
      <c r="F352" s="47"/>
    </row>
    <row r="353" ht="15.75" customHeight="1">
      <c r="F353" s="47"/>
    </row>
    <row r="354" ht="15.75" customHeight="1">
      <c r="F354" s="47"/>
    </row>
    <row r="355" ht="15.75" customHeight="1">
      <c r="F355" s="47"/>
    </row>
    <row r="356" ht="15.75" customHeight="1">
      <c r="F356" s="47"/>
    </row>
    <row r="357" ht="15.75" customHeight="1">
      <c r="F357" s="47"/>
    </row>
    <row r="358" ht="15.75" customHeight="1">
      <c r="F358" s="47"/>
    </row>
    <row r="359" ht="15.75" customHeight="1">
      <c r="F359" s="47"/>
    </row>
    <row r="360" ht="15.75" customHeight="1">
      <c r="F360" s="47"/>
    </row>
    <row r="361" ht="15.75" customHeight="1">
      <c r="F361" s="47"/>
    </row>
    <row r="362" ht="15.75" customHeight="1">
      <c r="F362" s="47"/>
    </row>
    <row r="363" ht="15.75" customHeight="1">
      <c r="F363" s="47"/>
    </row>
    <row r="364" ht="15.75" customHeight="1">
      <c r="F364" s="47"/>
    </row>
    <row r="365" ht="15.75" customHeight="1">
      <c r="F365" s="47"/>
    </row>
    <row r="366" ht="15.75" customHeight="1">
      <c r="F366" s="47"/>
    </row>
    <row r="367" ht="15.75" customHeight="1">
      <c r="F367" s="47"/>
    </row>
    <row r="368" ht="15.75" customHeight="1">
      <c r="F368" s="47"/>
    </row>
    <row r="369" ht="15.75" customHeight="1">
      <c r="F369" s="47"/>
    </row>
    <row r="370" ht="15.75" customHeight="1">
      <c r="F370" s="47"/>
    </row>
    <row r="371" ht="15.75" customHeight="1">
      <c r="F371" s="47"/>
    </row>
    <row r="372" ht="15.75" customHeight="1">
      <c r="F372" s="47"/>
    </row>
    <row r="373" ht="15.75" customHeight="1">
      <c r="F373" s="47"/>
    </row>
    <row r="374" ht="15.75" customHeight="1">
      <c r="F374" s="47"/>
    </row>
    <row r="375" ht="15.75" customHeight="1">
      <c r="F375" s="47"/>
    </row>
    <row r="376" ht="15.75" customHeight="1">
      <c r="F376" s="47"/>
    </row>
    <row r="377" ht="15.75" customHeight="1">
      <c r="F377" s="47"/>
    </row>
    <row r="378" ht="15.75" customHeight="1">
      <c r="F378" s="47"/>
    </row>
    <row r="379" ht="15.75" customHeight="1">
      <c r="F379" s="47"/>
    </row>
    <row r="380" ht="15.75" customHeight="1">
      <c r="F380" s="47"/>
    </row>
    <row r="381" ht="15.75" customHeight="1">
      <c r="F381" s="47"/>
    </row>
    <row r="382" ht="15.75" customHeight="1">
      <c r="F382" s="47"/>
    </row>
    <row r="383" ht="15.75" customHeight="1">
      <c r="F383" s="47"/>
    </row>
    <row r="384" ht="15.75" customHeight="1">
      <c r="F384" s="47"/>
    </row>
    <row r="385" ht="15.75" customHeight="1">
      <c r="F385" s="47"/>
    </row>
    <row r="386" ht="15.75" customHeight="1">
      <c r="F386" s="47"/>
    </row>
    <row r="387" ht="15.75" customHeight="1">
      <c r="F387" s="47"/>
    </row>
    <row r="388" ht="15.75" customHeight="1">
      <c r="F388" s="47"/>
    </row>
    <row r="389" ht="15.75" customHeight="1">
      <c r="F389" s="47"/>
    </row>
    <row r="390" ht="15.75" customHeight="1">
      <c r="F390" s="47"/>
    </row>
    <row r="391" ht="15.75" customHeight="1">
      <c r="F391" s="47"/>
    </row>
    <row r="392" ht="15.75" customHeight="1">
      <c r="F392" s="47"/>
    </row>
    <row r="393" ht="15.75" customHeight="1">
      <c r="F393" s="47"/>
    </row>
    <row r="394" ht="15.75" customHeight="1">
      <c r="F394" s="47"/>
    </row>
    <row r="395" ht="15.75" customHeight="1">
      <c r="F395" s="47"/>
    </row>
    <row r="396" ht="15.75" customHeight="1">
      <c r="F396" s="47"/>
    </row>
    <row r="397" ht="15.75" customHeight="1">
      <c r="F397" s="47"/>
    </row>
    <row r="398" ht="15.75" customHeight="1">
      <c r="F398" s="47"/>
    </row>
    <row r="399" ht="15.75" customHeight="1">
      <c r="F399" s="47"/>
    </row>
    <row r="400" ht="15.75" customHeight="1">
      <c r="F400" s="47"/>
    </row>
    <row r="401" ht="15.75" customHeight="1">
      <c r="F401" s="47"/>
    </row>
    <row r="402" ht="15.75" customHeight="1">
      <c r="F402" s="47"/>
    </row>
    <row r="403" ht="15.75" customHeight="1">
      <c r="F403" s="47"/>
    </row>
    <row r="404" ht="15.75" customHeight="1">
      <c r="F404" s="47"/>
    </row>
    <row r="405" ht="15.75" customHeight="1">
      <c r="F405" s="47"/>
    </row>
    <row r="406" ht="15.75" customHeight="1">
      <c r="F406" s="47"/>
    </row>
    <row r="407" ht="15.75" customHeight="1">
      <c r="F407" s="47"/>
    </row>
    <row r="408" ht="15.75" customHeight="1">
      <c r="F408" s="47"/>
    </row>
    <row r="409" ht="15.75" customHeight="1">
      <c r="F409" s="47"/>
    </row>
    <row r="410" ht="15.75" customHeight="1">
      <c r="F410" s="47"/>
    </row>
    <row r="411" ht="15.75" customHeight="1">
      <c r="F411" s="47"/>
    </row>
    <row r="412" ht="15.75" customHeight="1">
      <c r="F412" s="47"/>
    </row>
    <row r="413" ht="15.75" customHeight="1">
      <c r="F413" s="47"/>
    </row>
    <row r="414" ht="15.75" customHeight="1">
      <c r="F414" s="47"/>
    </row>
    <row r="415" ht="15.75" customHeight="1">
      <c r="F415" s="47"/>
    </row>
    <row r="416" ht="15.75" customHeight="1">
      <c r="F416" s="47"/>
    </row>
    <row r="417" ht="15.75" customHeight="1">
      <c r="F417" s="47"/>
    </row>
    <row r="418" ht="15.75" customHeight="1">
      <c r="F418" s="47"/>
    </row>
    <row r="419" ht="15.75" customHeight="1">
      <c r="F419" s="47"/>
    </row>
    <row r="420" ht="15.75" customHeight="1">
      <c r="F420" s="47"/>
    </row>
    <row r="421" ht="15.75" customHeight="1">
      <c r="F421" s="47"/>
    </row>
    <row r="422" ht="15.75" customHeight="1">
      <c r="F422" s="47"/>
    </row>
    <row r="423" ht="15.75" customHeight="1">
      <c r="F423" s="47"/>
    </row>
    <row r="424" ht="15.75" customHeight="1">
      <c r="F424" s="47"/>
    </row>
    <row r="425" ht="15.75" customHeight="1">
      <c r="F425" s="47"/>
    </row>
    <row r="426" ht="15.75" customHeight="1">
      <c r="F426" s="47"/>
    </row>
    <row r="427" ht="15.75" customHeight="1">
      <c r="F427" s="47"/>
    </row>
    <row r="428" ht="15.75" customHeight="1">
      <c r="F428" s="47"/>
    </row>
    <row r="429" ht="15.75" customHeight="1">
      <c r="F429" s="47"/>
    </row>
    <row r="430" ht="15.75" customHeight="1">
      <c r="F430" s="47"/>
    </row>
    <row r="431" ht="15.75" customHeight="1">
      <c r="F431" s="47"/>
    </row>
    <row r="432" ht="15.75" customHeight="1">
      <c r="F432" s="47"/>
    </row>
    <row r="433" ht="15.75" customHeight="1">
      <c r="F433" s="47"/>
    </row>
    <row r="434" ht="15.75" customHeight="1">
      <c r="F434" s="47"/>
    </row>
    <row r="435" ht="15.75" customHeight="1">
      <c r="F435" s="47"/>
    </row>
    <row r="436" ht="15.75" customHeight="1">
      <c r="F436" s="47"/>
    </row>
    <row r="437" ht="15.75" customHeight="1">
      <c r="F437" s="47"/>
    </row>
    <row r="438" ht="15.75" customHeight="1">
      <c r="F438" s="47"/>
    </row>
    <row r="439" ht="15.75" customHeight="1">
      <c r="F439" s="47"/>
    </row>
    <row r="440" ht="15.75" customHeight="1">
      <c r="F440" s="47"/>
    </row>
    <row r="441" ht="15.75" customHeight="1">
      <c r="F441" s="47"/>
    </row>
    <row r="442" ht="15.75" customHeight="1">
      <c r="F442" s="47"/>
    </row>
    <row r="443" ht="15.75" customHeight="1">
      <c r="F443" s="47"/>
    </row>
    <row r="444" ht="15.75" customHeight="1">
      <c r="F444" s="47"/>
    </row>
    <row r="445" ht="15.75" customHeight="1">
      <c r="F445" s="47"/>
    </row>
    <row r="446" ht="15.75" customHeight="1">
      <c r="F446" s="47"/>
    </row>
    <row r="447" ht="15.75" customHeight="1">
      <c r="F447" s="47"/>
    </row>
    <row r="448" ht="15.75" customHeight="1">
      <c r="F448" s="47"/>
    </row>
    <row r="449" ht="15.75" customHeight="1">
      <c r="F449" s="47"/>
    </row>
    <row r="450" ht="15.75" customHeight="1">
      <c r="F450" s="47"/>
    </row>
    <row r="451" ht="15.75" customHeight="1">
      <c r="F451" s="47"/>
    </row>
    <row r="452" ht="15.75" customHeight="1">
      <c r="F452" s="47"/>
    </row>
    <row r="453" ht="15.75" customHeight="1">
      <c r="F453" s="47"/>
    </row>
    <row r="454" ht="15.75" customHeight="1">
      <c r="F454" s="47"/>
    </row>
    <row r="455" ht="15.75" customHeight="1">
      <c r="F455" s="47"/>
    </row>
    <row r="456" ht="15.75" customHeight="1">
      <c r="F456" s="47"/>
    </row>
    <row r="457" ht="15.75" customHeight="1">
      <c r="F457" s="47"/>
    </row>
    <row r="458" ht="15.75" customHeight="1">
      <c r="F458" s="47"/>
    </row>
    <row r="459" ht="15.75" customHeight="1">
      <c r="F459" s="47"/>
    </row>
    <row r="460" ht="15.75" customHeight="1">
      <c r="F460" s="47"/>
    </row>
    <row r="461" ht="15.75" customHeight="1">
      <c r="F461" s="47"/>
    </row>
    <row r="462" ht="15.75" customHeight="1">
      <c r="F462" s="47"/>
    </row>
    <row r="463" ht="15.75" customHeight="1">
      <c r="F463" s="47"/>
    </row>
    <row r="464" ht="15.75" customHeight="1">
      <c r="F464" s="47"/>
    </row>
    <row r="465" ht="15.75" customHeight="1">
      <c r="F465" s="47"/>
    </row>
    <row r="466" ht="15.75" customHeight="1">
      <c r="F466" s="47"/>
    </row>
    <row r="467" ht="15.75" customHeight="1">
      <c r="F467" s="47"/>
    </row>
    <row r="468" ht="15.75" customHeight="1">
      <c r="F468" s="47"/>
    </row>
    <row r="469" ht="15.75" customHeight="1">
      <c r="F469" s="47"/>
    </row>
    <row r="470" ht="15.75" customHeight="1">
      <c r="F470" s="47"/>
    </row>
    <row r="471" ht="15.75" customHeight="1">
      <c r="F471" s="47"/>
    </row>
    <row r="472" ht="15.75" customHeight="1">
      <c r="F472" s="47"/>
    </row>
    <row r="473" ht="15.75" customHeight="1">
      <c r="F473" s="47"/>
    </row>
    <row r="474" ht="15.75" customHeight="1">
      <c r="F474" s="47"/>
    </row>
    <row r="475" ht="15.75" customHeight="1">
      <c r="F475" s="47"/>
    </row>
    <row r="476" ht="15.75" customHeight="1">
      <c r="F476" s="47"/>
    </row>
    <row r="477" ht="15.75" customHeight="1">
      <c r="F477" s="47"/>
    </row>
    <row r="478" ht="15.75" customHeight="1">
      <c r="F478" s="47"/>
    </row>
    <row r="479" ht="15.75" customHeight="1">
      <c r="F479" s="47"/>
    </row>
    <row r="480" ht="15.75" customHeight="1">
      <c r="F480" s="47"/>
    </row>
    <row r="481" ht="15.75" customHeight="1">
      <c r="F481" s="47"/>
    </row>
    <row r="482" ht="15.75" customHeight="1">
      <c r="F482" s="47"/>
    </row>
    <row r="483" ht="15.75" customHeight="1">
      <c r="F483" s="47"/>
    </row>
    <row r="484" ht="15.75" customHeight="1">
      <c r="F484" s="47"/>
    </row>
    <row r="485" ht="15.75" customHeight="1">
      <c r="F485" s="47"/>
    </row>
    <row r="486" ht="15.75" customHeight="1">
      <c r="F486" s="47"/>
    </row>
    <row r="487" ht="15.75" customHeight="1">
      <c r="F487" s="47"/>
    </row>
    <row r="488" ht="15.75" customHeight="1">
      <c r="F488" s="47"/>
    </row>
    <row r="489" ht="15.75" customHeight="1">
      <c r="F489" s="47"/>
    </row>
    <row r="490" ht="15.75" customHeight="1">
      <c r="F490" s="47"/>
    </row>
    <row r="491" ht="15.75" customHeight="1">
      <c r="F491" s="47"/>
    </row>
    <row r="492" ht="15.75" customHeight="1">
      <c r="F492" s="47"/>
    </row>
    <row r="493" ht="15.75" customHeight="1">
      <c r="F493" s="47"/>
    </row>
    <row r="494" ht="15.75" customHeight="1">
      <c r="F494" s="47"/>
    </row>
    <row r="495" ht="15.75" customHeight="1">
      <c r="F495" s="47"/>
    </row>
    <row r="496" ht="15.75" customHeight="1">
      <c r="F496" s="47"/>
    </row>
    <row r="497" ht="15.75" customHeight="1">
      <c r="F497" s="47"/>
    </row>
    <row r="498" ht="15.75" customHeight="1">
      <c r="F498" s="47"/>
    </row>
    <row r="499" ht="15.75" customHeight="1">
      <c r="F499" s="47"/>
    </row>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autoFilter ref="A1:I32"/>
  <conditionalFormatting sqref="F2:F998">
    <cfRule type="expression" dxfId="1" priority="1">
      <formula>$F2="active"</formula>
    </cfRule>
  </conditionalFormatting>
  <conditionalFormatting sqref="F2:F998">
    <cfRule type="expression" dxfId="1" priority="2">
      <formula>$F2="completed"</formula>
    </cfRule>
  </conditionalFormatting>
  <conditionalFormatting sqref="F2:F998">
    <cfRule type="expression" dxfId="1" priority="3">
      <formula>$F2="paid"</formula>
    </cfRule>
  </conditionalFormatting>
  <conditionalFormatting sqref="F2:F998">
    <cfRule type="expression" dxfId="1" priority="4">
      <formula>$F2="present"</formula>
    </cfRule>
  </conditionalFormatting>
  <conditionalFormatting sqref="F2:F998">
    <cfRule type="expression" dxfId="2" priority="5">
      <formula>$F2="inactive"</formula>
    </cfRule>
  </conditionalFormatting>
  <conditionalFormatting sqref="F2:F998">
    <cfRule type="expression" dxfId="3" priority="6">
      <formula>$F2="absent"</formula>
    </cfRule>
  </conditionalFormatting>
  <conditionalFormatting sqref="F2:F998">
    <cfRule type="expression" dxfId="4" priority="7">
      <formula>$F2="late"</formula>
    </cfRule>
  </conditionalFormatting>
  <conditionalFormatting sqref="F2:F998">
    <cfRule type="expression" dxfId="4" priority="8">
      <formula>$F2="pending"</formula>
    </cfRule>
  </conditionalFormatting>
  <conditionalFormatting sqref="F2:F998">
    <cfRule type="expression" dxfId="3" priority="9">
      <formula>$F2="cancelled"</formula>
    </cfRule>
  </conditionalFormatting>
  <dataValidations>
    <dataValidation type="list" allowBlank="1" sqref="F2:F499">
      <formula1>DanhMuc!$M$2:$M$100</formula1>
    </dataValidation>
  </dataValidation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6A34A"/>
    <pageSetUpPr/>
  </sheetPr>
  <sheetViews>
    <sheetView showGridLines="0" workbookViewId="0">
      <pane ySplit="1" topLeftCell="A2" activePane="bottomLeft" state="frozen"/>
      <selection pane="bottomLeft"/>
    </sheetView>
  </sheetViews>
  <sheetFormatPr customHeight="1" defaultColWidth="12.63" defaultRowHeight="15.0"/>
  <cols>
    <col min="1" max="1" width="10" customWidth="1"/>
    <col min="2" max="2" width="13" customWidth="1"/>
    <col min="3" max="3" width="10" customWidth="1"/>
    <col min="4" max="4" width="10" customWidth="1"/>
    <col min="5" max="5" width="10" customWidth="1"/>
    <col min="6" max="6" width="11" customWidth="1"/>
    <col min="7" max="7" width="42" customWidth="1"/>
    <col min="8" max="8" width="42" customWidth="1"/>
    <col min="9" max="9" width="42" customWidth="1"/>
    <col min="10" max="10" width="21" customWidth="1"/>
    <col min="11" max="11" width="21" customWidth="1"/>
  </cols>
  <sheetData>
    <row r="1" ht="31.5" customHeight="1">
      <c r="A1" s="3" t="s">
        <v>498</v>
      </c>
      <c r="B1" s="3" t="s">
        <v>499</v>
      </c>
      <c r="C1" s="3" t="s">
        <v>405</v>
      </c>
      <c r="D1" s="3" t="s">
        <v>65</v>
      </c>
      <c r="E1" s="3" t="s">
        <v>391</v>
      </c>
      <c r="F1" s="3" t="s">
        <v>140</v>
      </c>
      <c r="G1" s="3" t="s">
        <v>500</v>
      </c>
      <c r="H1" s="3" t="s">
        <v>501</v>
      </c>
      <c r="I1" s="3" t="s">
        <v>502</v>
      </c>
      <c r="J1" s="3" t="s">
        <v>146</v>
      </c>
      <c r="K1" s="3" t="s">
        <v>113</v>
      </c>
    </row>
    <row r="2" ht="22.5" customHeight="1">
      <c r="A2" s="36" t="inlineStr">
        <is>
          <t>BH-20260627-6A-7H30</t>
        </is>
      </c>
      <c r="B2" s="38">
        <v>46200.0</v>
      </c>
      <c r="C2" s="36" t="inlineStr">
        <is>
          <t>6A</t>
        </is>
      </c>
      <c r="D2" s="35" t="s">
        <v>76</v>
      </c>
      <c r="E2" s="28" t="inlineStr">
        <is>
          <t>GV0001</t>
        </is>
      </c>
      <c r="F2" s="35" t="inlineStr">
        <is>
          <t>completed</t>
        </is>
      </c>
      <c r="G2" s="35" t="s">
        <v>504</v>
      </c>
      <c r="H2" s="35" t="s">
        <v>505</v>
      </c>
      <c r="I2" s="15"/>
      <c r="J2" s="38" t="s">
        <v>506</v>
      </c>
      <c r="K2" s="38" t="s">
        <v>506</v>
      </c>
    </row>
    <row r="3" ht="22.5" customHeight="1">
      <c r="A3" s="30" t="inlineStr">
        <is>
          <t>BH-20260627-10A-15H30</t>
        </is>
      </c>
      <c r="B3" s="33">
        <v>46200.0</v>
      </c>
      <c r="C3" s="30" t="inlineStr">
        <is>
          <t>10A</t>
        </is>
      </c>
      <c r="D3" s="29" t="s">
        <v>104</v>
      </c>
      <c r="E3" s="28" t="inlineStr">
        <is>
          <t>GV0001</t>
        </is>
      </c>
      <c r="F3" s="29" t="inlineStr">
        <is>
          <t>completed</t>
        </is>
      </c>
      <c r="G3" s="29" t="s">
        <v>504</v>
      </c>
      <c r="H3" s="29" t="s">
        <v>508</v>
      </c>
      <c r="I3" s="19"/>
      <c r="J3" s="33" t="s">
        <v>509</v>
      </c>
      <c r="K3" s="33" t="s">
        <v>509</v>
      </c>
    </row>
    <row r="4" ht="22.5" customHeight="1"/>
    <row r="5">
      <c r="A5" s="25"/>
      <c r="B5" s="26"/>
      <c r="C5" s="25"/>
      <c r="D5" s="25"/>
      <c r="E5" s="25"/>
      <c r="F5" s="25"/>
      <c r="G5" s="25"/>
      <c r="H5" s="25"/>
      <c r="I5" s="25"/>
      <c r="J5" s="43"/>
      <c r="K5" s="43"/>
    </row>
    <row r="6">
      <c r="A6" s="23"/>
      <c r="B6" s="24"/>
      <c r="C6" s="23"/>
      <c r="D6" s="23"/>
      <c r="E6" s="23"/>
      <c r="F6" s="23"/>
      <c r="G6" s="23"/>
      <c r="H6" s="23"/>
      <c r="I6" s="23"/>
      <c r="J6" s="45"/>
      <c r="K6" s="45"/>
    </row>
    <row r="7">
      <c r="A7" s="25"/>
      <c r="B7" s="26"/>
      <c r="C7" s="25"/>
      <c r="D7" s="25"/>
      <c r="E7" s="25"/>
      <c r="F7" s="25"/>
      <c r="G7" s="25"/>
      <c r="H7" s="25"/>
      <c r="I7" s="25"/>
      <c r="J7" s="43"/>
      <c r="K7" s="43"/>
    </row>
    <row r="8">
      <c r="A8" s="23"/>
      <c r="B8" s="24"/>
      <c r="C8" s="23"/>
      <c r="D8" s="23"/>
      <c r="E8" s="23"/>
      <c r="F8" s="23"/>
      <c r="G8" s="23"/>
      <c r="H8" s="23"/>
      <c r="I8" s="23"/>
      <c r="J8" s="45"/>
      <c r="K8" s="45"/>
    </row>
    <row r="9">
      <c r="A9" s="25"/>
      <c r="B9" s="26"/>
      <c r="C9" s="25"/>
      <c r="D9" s="25"/>
      <c r="E9" s="25"/>
      <c r="F9" s="25"/>
      <c r="G9" s="25"/>
      <c r="H9" s="25"/>
      <c r="I9" s="25"/>
      <c r="J9" s="43"/>
      <c r="K9" s="43"/>
    </row>
    <row r="10">
      <c r="A10" s="23"/>
      <c r="B10" s="24"/>
      <c r="C10" s="23"/>
      <c r="D10" s="23"/>
      <c r="E10" s="23"/>
      <c r="F10" s="23"/>
      <c r="G10" s="23"/>
      <c r="H10" s="23"/>
      <c r="I10" s="23"/>
      <c r="J10" s="45"/>
      <c r="K10" s="45"/>
    </row>
    <row r="11">
      <c r="A11" s="25"/>
      <c r="B11" s="26"/>
      <c r="C11" s="25"/>
      <c r="D11" s="25"/>
      <c r="E11" s="25"/>
      <c r="F11" s="25"/>
      <c r="G11" s="25"/>
      <c r="H11" s="25"/>
      <c r="I11" s="25"/>
      <c r="J11" s="43"/>
      <c r="K11" s="43"/>
    </row>
    <row r="12">
      <c r="A12" s="23"/>
      <c r="B12" s="24"/>
      <c r="C12" s="23"/>
      <c r="D12" s="23"/>
      <c r="E12" s="23"/>
      <c r="F12" s="23"/>
      <c r="G12" s="23"/>
      <c r="H12" s="23"/>
      <c r="I12" s="23"/>
      <c r="J12" s="45"/>
      <c r="K12" s="45"/>
    </row>
    <row r="13">
      <c r="A13" s="25"/>
      <c r="B13" s="26"/>
      <c r="C13" s="25"/>
      <c r="D13" s="25"/>
      <c r="E13" s="25"/>
      <c r="F13" s="25"/>
      <c r="G13" s="25"/>
      <c r="H13" s="25"/>
      <c r="I13" s="25"/>
      <c r="J13" s="43"/>
      <c r="K13" s="43"/>
    </row>
    <row r="14">
      <c r="A14" s="23"/>
      <c r="B14" s="24"/>
      <c r="C14" s="23"/>
      <c r="D14" s="23"/>
      <c r="E14" s="23"/>
      <c r="F14" s="23"/>
      <c r="G14" s="23"/>
      <c r="H14" s="23"/>
      <c r="I14" s="23"/>
      <c r="J14" s="45"/>
      <c r="K14" s="45"/>
    </row>
    <row r="15">
      <c r="A15" s="25"/>
      <c r="B15" s="26"/>
      <c r="C15" s="25"/>
      <c r="D15" s="25"/>
      <c r="E15" s="25"/>
      <c r="F15" s="25"/>
      <c r="G15" s="25"/>
      <c r="H15" s="25"/>
      <c r="I15" s="25"/>
      <c r="J15" s="43"/>
      <c r="K15" s="43"/>
    </row>
    <row r="16">
      <c r="A16" s="23"/>
      <c r="B16" s="24"/>
      <c r="C16" s="23"/>
      <c r="D16" s="23"/>
      <c r="E16" s="23"/>
      <c r="F16" s="23"/>
      <c r="G16" s="23"/>
      <c r="H16" s="23"/>
      <c r="I16" s="23"/>
      <c r="J16" s="45"/>
      <c r="K16" s="45"/>
    </row>
    <row r="17">
      <c r="A17" s="25"/>
      <c r="B17" s="26"/>
      <c r="C17" s="25"/>
      <c r="D17" s="25"/>
      <c r="E17" s="25"/>
      <c r="F17" s="25"/>
      <c r="G17" s="25"/>
      <c r="H17" s="25"/>
      <c r="I17" s="25"/>
      <c r="J17" s="43"/>
      <c r="K17" s="43"/>
    </row>
    <row r="18">
      <c r="A18" s="23"/>
      <c r="B18" s="24"/>
      <c r="C18" s="23"/>
      <c r="D18" s="23"/>
      <c r="E18" s="23"/>
      <c r="F18" s="23"/>
      <c r="G18" s="23"/>
      <c r="H18" s="23"/>
      <c r="I18" s="23"/>
      <c r="J18" s="45"/>
      <c r="K18" s="45"/>
    </row>
    <row r="19">
      <c r="A19" s="25"/>
      <c r="B19" s="26"/>
      <c r="C19" s="25"/>
      <c r="D19" s="25"/>
      <c r="E19" s="25"/>
      <c r="F19" s="25"/>
      <c r="G19" s="25"/>
      <c r="H19" s="25"/>
      <c r="I19" s="25"/>
      <c r="J19" s="43"/>
      <c r="K19" s="43"/>
    </row>
    <row r="20" ht="15.75" customHeight="1">
      <c r="A20" s="23"/>
      <c r="B20" s="24"/>
      <c r="C20" s="23"/>
      <c r="D20" s="23"/>
      <c r="E20" s="23"/>
      <c r="F20" s="23"/>
      <c r="G20" s="23"/>
      <c r="H20" s="23"/>
      <c r="I20" s="23"/>
      <c r="J20" s="45"/>
      <c r="K20" s="45"/>
    </row>
    <row r="21" ht="15.75" customHeight="1">
      <c r="A21" s="25"/>
      <c r="B21" s="26"/>
      <c r="C21" s="25"/>
      <c r="D21" s="25"/>
      <c r="E21" s="25"/>
      <c r="F21" s="25"/>
      <c r="G21" s="25"/>
      <c r="H21" s="25"/>
      <c r="I21" s="25"/>
      <c r="J21" s="43"/>
      <c r="K21" s="43"/>
    </row>
    <row r="22" ht="15.75" customHeight="1">
      <c r="A22" s="23"/>
      <c r="B22" s="24"/>
      <c r="C22" s="23"/>
      <c r="D22" s="23"/>
      <c r="E22" s="23"/>
      <c r="F22" s="23"/>
      <c r="G22" s="23"/>
      <c r="H22" s="23"/>
      <c r="I22" s="23"/>
      <c r="J22" s="45"/>
      <c r="K22" s="45"/>
    </row>
    <row r="23" ht="15.75" customHeight="1">
      <c r="A23" s="25"/>
      <c r="B23" s="26"/>
      <c r="C23" s="25"/>
      <c r="D23" s="25"/>
      <c r="E23" s="25"/>
      <c r="F23" s="25"/>
      <c r="G23" s="25"/>
      <c r="H23" s="25"/>
      <c r="I23" s="25"/>
      <c r="J23" s="43"/>
      <c r="K23" s="43"/>
    </row>
    <row r="24" ht="15.75" customHeight="1">
      <c r="A24" s="23"/>
      <c r="B24" s="24"/>
      <c r="C24" s="23"/>
      <c r="D24" s="23"/>
      <c r="E24" s="23"/>
      <c r="F24" s="23"/>
      <c r="G24" s="23"/>
      <c r="H24" s="23"/>
      <c r="I24" s="23"/>
      <c r="J24" s="45"/>
      <c r="K24" s="45"/>
    </row>
    <row r="25" ht="15.75" customHeight="1">
      <c r="A25" s="25"/>
      <c r="B25" s="26"/>
      <c r="C25" s="25"/>
      <c r="D25" s="25"/>
      <c r="E25" s="25"/>
      <c r="F25" s="25"/>
      <c r="G25" s="25"/>
      <c r="H25" s="25"/>
      <c r="I25" s="25"/>
      <c r="J25" s="43"/>
      <c r="K25" s="43"/>
    </row>
    <row r="26" ht="15.75" customHeight="1">
      <c r="A26" s="23"/>
      <c r="B26" s="24"/>
      <c r="C26" s="23"/>
      <c r="D26" s="23"/>
      <c r="E26" s="23"/>
      <c r="F26" s="23"/>
      <c r="G26" s="23"/>
      <c r="H26" s="23"/>
      <c r="I26" s="23"/>
      <c r="J26" s="45"/>
      <c r="K26" s="45"/>
    </row>
    <row r="27" ht="15.75" customHeight="1">
      <c r="A27" s="25"/>
      <c r="B27" s="26"/>
      <c r="C27" s="25"/>
      <c r="D27" s="25"/>
      <c r="E27" s="25"/>
      <c r="F27" s="25"/>
      <c r="G27" s="25"/>
      <c r="H27" s="25"/>
      <c r="I27" s="25"/>
      <c r="J27" s="43"/>
      <c r="K27" s="43"/>
    </row>
    <row r="28" ht="15.75" customHeight="1">
      <c r="A28" s="23"/>
      <c r="B28" s="24"/>
      <c r="C28" s="23"/>
      <c r="D28" s="23"/>
      <c r="E28" s="23"/>
      <c r="F28" s="23"/>
      <c r="G28" s="23"/>
      <c r="H28" s="23"/>
      <c r="I28" s="23"/>
      <c r="J28" s="45"/>
      <c r="K28" s="45"/>
    </row>
    <row r="29" ht="15.75" customHeight="1">
      <c r="A29" s="25"/>
      <c r="B29" s="26"/>
      <c r="C29" s="25"/>
      <c r="D29" s="25"/>
      <c r="E29" s="25"/>
      <c r="F29" s="25"/>
      <c r="G29" s="25"/>
      <c r="H29" s="25"/>
      <c r="I29" s="25"/>
      <c r="J29" s="43"/>
      <c r="K29" s="43"/>
    </row>
    <row r="30" ht="15.75" customHeight="1">
      <c r="A30" s="23"/>
      <c r="B30" s="24"/>
      <c r="C30" s="23"/>
      <c r="D30" s="23"/>
      <c r="E30" s="23"/>
      <c r="F30" s="23"/>
      <c r="G30" s="23"/>
      <c r="H30" s="23"/>
      <c r="I30" s="23"/>
      <c r="J30" s="45"/>
      <c r="K30" s="45"/>
    </row>
    <row r="31" ht="15.75" customHeight="1">
      <c r="A31" s="25"/>
      <c r="B31" s="26"/>
      <c r="C31" s="25"/>
      <c r="D31" s="25"/>
      <c r="E31" s="25"/>
      <c r="F31" s="25"/>
      <c r="G31" s="25"/>
      <c r="H31" s="25"/>
      <c r="I31" s="25"/>
      <c r="J31" s="43"/>
      <c r="K31" s="43"/>
    </row>
    <row r="32" ht="15.75" customHeight="1">
      <c r="A32" s="23"/>
      <c r="B32" s="24"/>
      <c r="C32" s="23"/>
      <c r="D32" s="23"/>
      <c r="E32" s="23"/>
      <c r="F32" s="23"/>
      <c r="G32" s="23"/>
      <c r="H32" s="23"/>
      <c r="I32" s="23"/>
      <c r="J32" s="45"/>
      <c r="K32" s="45"/>
    </row>
    <row r="33" ht="15.75" customHeight="1">
      <c r="A33" s="25"/>
      <c r="B33" s="26"/>
      <c r="C33" s="25"/>
      <c r="D33" s="25"/>
      <c r="E33" s="25"/>
      <c r="F33" s="25"/>
      <c r="G33" s="25"/>
      <c r="H33" s="25"/>
      <c r="I33" s="25"/>
      <c r="J33" s="43"/>
      <c r="K33" s="43"/>
    </row>
    <row r="34" ht="15.75" customHeight="1">
      <c r="A34" s="23"/>
      <c r="B34" s="24"/>
      <c r="C34" s="23"/>
      <c r="D34" s="23"/>
      <c r="E34" s="23"/>
      <c r="F34" s="23"/>
      <c r="G34" s="23"/>
      <c r="H34" s="23"/>
      <c r="I34" s="23"/>
      <c r="J34" s="45"/>
      <c r="K34" s="45"/>
    </row>
    <row r="35" ht="15.75" customHeight="1">
      <c r="A35" s="25"/>
      <c r="B35" s="26"/>
      <c r="C35" s="25"/>
      <c r="D35" s="25"/>
      <c r="E35" s="25"/>
      <c r="F35" s="25"/>
      <c r="G35" s="25"/>
      <c r="H35" s="25"/>
      <c r="I35" s="25"/>
      <c r="J35" s="43"/>
      <c r="K35" s="43"/>
    </row>
    <row r="36" ht="15.75" customHeight="1">
      <c r="A36" s="23"/>
      <c r="B36" s="24"/>
      <c r="C36" s="23"/>
      <c r="D36" s="23"/>
      <c r="E36" s="23"/>
      <c r="F36" s="23"/>
      <c r="G36" s="23"/>
      <c r="H36" s="23"/>
      <c r="I36" s="23"/>
      <c r="J36" s="45"/>
      <c r="K36" s="45"/>
    </row>
    <row r="37" ht="15.75" customHeight="1">
      <c r="A37" s="25"/>
      <c r="B37" s="26"/>
      <c r="C37" s="25"/>
      <c r="D37" s="25"/>
      <c r="E37" s="25"/>
      <c r="F37" s="25"/>
      <c r="G37" s="25"/>
      <c r="H37" s="25"/>
      <c r="I37" s="25"/>
      <c r="J37" s="43"/>
      <c r="K37" s="43"/>
    </row>
    <row r="38" ht="15.75" customHeight="1">
      <c r="A38" s="23"/>
      <c r="B38" s="24"/>
      <c r="C38" s="23"/>
      <c r="D38" s="23"/>
      <c r="E38" s="23"/>
      <c r="F38" s="23"/>
      <c r="G38" s="23"/>
      <c r="H38" s="23"/>
      <c r="I38" s="23"/>
      <c r="J38" s="45"/>
      <c r="K38" s="45"/>
    </row>
    <row r="39" ht="15.75" customHeight="1">
      <c r="A39" s="25"/>
      <c r="B39" s="26"/>
      <c r="C39" s="25"/>
      <c r="D39" s="25"/>
      <c r="E39" s="25"/>
      <c r="F39" s="25"/>
      <c r="G39" s="25"/>
      <c r="H39" s="25"/>
      <c r="I39" s="25"/>
      <c r="J39" s="43"/>
      <c r="K39" s="43"/>
    </row>
    <row r="40" ht="15.75" customHeight="1">
      <c r="A40" s="23"/>
      <c r="B40" s="24"/>
      <c r="C40" s="23"/>
      <c r="D40" s="23"/>
      <c r="E40" s="23"/>
      <c r="F40" s="23"/>
      <c r="G40" s="23"/>
      <c r="H40" s="23"/>
      <c r="I40" s="23"/>
      <c r="J40" s="45"/>
      <c r="K40" s="45"/>
    </row>
    <row r="41" ht="15.75" customHeight="1">
      <c r="A41" s="25"/>
      <c r="B41" s="26"/>
      <c r="C41" s="25"/>
      <c r="D41" s="25"/>
      <c r="E41" s="25"/>
      <c r="F41" s="25"/>
      <c r="G41" s="25"/>
      <c r="H41" s="25"/>
      <c r="I41" s="25"/>
      <c r="J41" s="43"/>
      <c r="K41" s="43"/>
    </row>
    <row r="42" ht="15.75" customHeight="1">
      <c r="A42" s="23"/>
      <c r="B42" s="24"/>
      <c r="C42" s="23"/>
      <c r="D42" s="23"/>
      <c r="E42" s="23"/>
      <c r="F42" s="23"/>
      <c r="G42" s="23"/>
      <c r="H42" s="23"/>
      <c r="I42" s="23"/>
      <c r="J42" s="45"/>
      <c r="K42" s="45"/>
    </row>
    <row r="43" ht="15.75" customHeight="1">
      <c r="A43" s="25"/>
      <c r="B43" s="26"/>
      <c r="C43" s="25"/>
      <c r="D43" s="25"/>
      <c r="E43" s="25"/>
      <c r="F43" s="25"/>
      <c r="G43" s="25"/>
      <c r="H43" s="25"/>
      <c r="I43" s="25"/>
      <c r="J43" s="43"/>
      <c r="K43" s="43"/>
    </row>
    <row r="44" ht="15.75" customHeight="1">
      <c r="A44" s="23"/>
      <c r="B44" s="24"/>
      <c r="C44" s="23"/>
      <c r="D44" s="23"/>
      <c r="E44" s="23"/>
      <c r="F44" s="23"/>
      <c r="G44" s="23"/>
      <c r="H44" s="23"/>
      <c r="I44" s="23"/>
      <c r="J44" s="45"/>
      <c r="K44" s="45"/>
    </row>
    <row r="45" ht="15.75" customHeight="1">
      <c r="A45" s="25"/>
      <c r="B45" s="26"/>
      <c r="C45" s="25"/>
      <c r="D45" s="25"/>
      <c r="E45" s="25"/>
      <c r="F45" s="25"/>
      <c r="G45" s="25"/>
      <c r="H45" s="25"/>
      <c r="I45" s="25"/>
      <c r="J45" s="43"/>
      <c r="K45" s="43"/>
    </row>
    <row r="46" ht="15.75" customHeight="1">
      <c r="A46" s="23"/>
      <c r="B46" s="24"/>
      <c r="C46" s="23"/>
      <c r="D46" s="23"/>
      <c r="E46" s="23"/>
      <c r="F46" s="23"/>
      <c r="G46" s="23"/>
      <c r="H46" s="23"/>
      <c r="I46" s="23"/>
      <c r="J46" s="45"/>
      <c r="K46" s="45"/>
    </row>
    <row r="47" ht="15.75" customHeight="1">
      <c r="A47" s="25"/>
      <c r="B47" s="26"/>
      <c r="C47" s="25"/>
      <c r="D47" s="25"/>
      <c r="E47" s="25"/>
      <c r="F47" s="25"/>
      <c r="G47" s="25"/>
      <c r="H47" s="25"/>
      <c r="I47" s="25"/>
      <c r="J47" s="43"/>
      <c r="K47" s="43"/>
    </row>
    <row r="48" ht="15.75" customHeight="1">
      <c r="A48" s="23"/>
      <c r="B48" s="24"/>
      <c r="C48" s="23"/>
      <c r="D48" s="23"/>
      <c r="E48" s="23"/>
      <c r="F48" s="23"/>
      <c r="G48" s="23"/>
      <c r="H48" s="23"/>
      <c r="I48" s="23"/>
      <c r="J48" s="45"/>
      <c r="K48" s="45"/>
    </row>
    <row r="49" ht="15.75" customHeight="1">
      <c r="A49" s="25"/>
      <c r="B49" s="26"/>
      <c r="C49" s="25"/>
      <c r="D49" s="25"/>
      <c r="E49" s="25"/>
      <c r="F49" s="25"/>
      <c r="G49" s="25"/>
      <c r="H49" s="25"/>
      <c r="I49" s="25"/>
      <c r="J49" s="43"/>
      <c r="K49" s="43"/>
    </row>
    <row r="50" ht="15.75" customHeight="1">
      <c r="A50" s="23"/>
      <c r="B50" s="24"/>
      <c r="C50" s="23"/>
      <c r="D50" s="23"/>
      <c r="E50" s="23"/>
      <c r="F50" s="23"/>
      <c r="G50" s="23"/>
      <c r="H50" s="23"/>
      <c r="I50" s="23"/>
      <c r="J50" s="45"/>
      <c r="K50" s="45"/>
    </row>
    <row r="51" ht="15.75" customHeight="1">
      <c r="A51" s="25"/>
      <c r="B51" s="26"/>
      <c r="C51" s="25"/>
      <c r="D51" s="25"/>
      <c r="E51" s="25"/>
      <c r="F51" s="25"/>
      <c r="G51" s="25"/>
      <c r="H51" s="25"/>
      <c r="I51" s="25"/>
      <c r="J51" s="43"/>
      <c r="K51" s="43"/>
    </row>
    <row r="52" ht="15.75" customHeight="1">
      <c r="A52" s="23"/>
      <c r="B52" s="24"/>
      <c r="C52" s="23"/>
      <c r="D52" s="23"/>
      <c r="E52" s="23"/>
      <c r="F52" s="23"/>
      <c r="G52" s="23"/>
      <c r="H52" s="23"/>
      <c r="I52" s="23"/>
      <c r="J52" s="45"/>
      <c r="K52" s="45"/>
    </row>
    <row r="53" ht="15.75" customHeight="1">
      <c r="A53" s="25"/>
      <c r="B53" s="26"/>
      <c r="C53" s="25"/>
      <c r="D53" s="25"/>
      <c r="E53" s="25"/>
      <c r="F53" s="25"/>
      <c r="G53" s="25"/>
      <c r="H53" s="25"/>
      <c r="I53" s="25"/>
      <c r="J53" s="43"/>
      <c r="K53" s="43"/>
    </row>
    <row r="54" ht="15.75" customHeight="1">
      <c r="A54" s="23"/>
      <c r="B54" s="24"/>
      <c r="C54" s="23"/>
      <c r="D54" s="23"/>
      <c r="E54" s="23"/>
      <c r="F54" s="23"/>
      <c r="G54" s="23"/>
      <c r="H54" s="23"/>
      <c r="I54" s="23"/>
      <c r="J54" s="45"/>
      <c r="K54" s="45"/>
    </row>
    <row r="55" ht="15.75" customHeight="1">
      <c r="A55" s="25"/>
      <c r="B55" s="26"/>
      <c r="C55" s="25"/>
      <c r="D55" s="25"/>
      <c r="E55" s="25"/>
      <c r="F55" s="25"/>
      <c r="G55" s="25"/>
      <c r="H55" s="25"/>
      <c r="I55" s="25"/>
      <c r="J55" s="43"/>
      <c r="K55" s="43"/>
    </row>
    <row r="56" ht="15.75" customHeight="1">
      <c r="A56" s="23"/>
      <c r="B56" s="24"/>
      <c r="C56" s="23"/>
      <c r="D56" s="23"/>
      <c r="E56" s="23"/>
      <c r="F56" s="23"/>
      <c r="G56" s="23"/>
      <c r="H56" s="23"/>
      <c r="I56" s="23"/>
      <c r="J56" s="45"/>
      <c r="K56" s="45"/>
    </row>
    <row r="57" ht="15.75" customHeight="1">
      <c r="A57" s="25"/>
      <c r="B57" s="26"/>
      <c r="C57" s="25"/>
      <c r="D57" s="25"/>
      <c r="E57" s="25"/>
      <c r="F57" s="25"/>
      <c r="G57" s="25"/>
      <c r="H57" s="25"/>
      <c r="I57" s="25"/>
      <c r="J57" s="43"/>
      <c r="K57" s="43"/>
    </row>
    <row r="58" ht="15.75" customHeight="1">
      <c r="A58" s="23"/>
      <c r="B58" s="24"/>
      <c r="C58" s="23"/>
      <c r="D58" s="23"/>
      <c r="E58" s="23"/>
      <c r="F58" s="23"/>
      <c r="G58" s="23"/>
      <c r="H58" s="23"/>
      <c r="I58" s="23"/>
      <c r="J58" s="45"/>
      <c r="K58" s="45"/>
    </row>
    <row r="59" ht="15.75" customHeight="1">
      <c r="A59" s="25"/>
      <c r="B59" s="26"/>
      <c r="C59" s="25"/>
      <c r="D59" s="25"/>
      <c r="E59" s="25"/>
      <c r="F59" s="25"/>
      <c r="G59" s="25"/>
      <c r="H59" s="25"/>
      <c r="I59" s="25"/>
      <c r="J59" s="43"/>
      <c r="K59" s="43"/>
    </row>
    <row r="60" ht="15.75" customHeight="1">
      <c r="A60" s="23"/>
      <c r="B60" s="24"/>
      <c r="C60" s="23"/>
      <c r="D60" s="23"/>
      <c r="E60" s="23"/>
      <c r="F60" s="23"/>
      <c r="G60" s="23"/>
      <c r="H60" s="23"/>
      <c r="I60" s="23"/>
      <c r="J60" s="45"/>
      <c r="K60" s="45"/>
    </row>
    <row r="61" ht="15.75" customHeight="1">
      <c r="A61" s="25"/>
      <c r="B61" s="26"/>
      <c r="C61" s="25"/>
      <c r="D61" s="25"/>
      <c r="E61" s="25"/>
      <c r="F61" s="25"/>
      <c r="G61" s="25"/>
      <c r="H61" s="25"/>
      <c r="I61" s="25"/>
      <c r="J61" s="43"/>
      <c r="K61" s="43"/>
    </row>
    <row r="62" ht="15.75" customHeight="1">
      <c r="A62" s="23"/>
      <c r="B62" s="24"/>
      <c r="C62" s="23"/>
      <c r="D62" s="23"/>
      <c r="E62" s="23"/>
      <c r="F62" s="23"/>
      <c r="G62" s="23"/>
      <c r="H62" s="23"/>
      <c r="I62" s="23"/>
      <c r="J62" s="45"/>
      <c r="K62" s="45"/>
    </row>
    <row r="63" ht="15.75" customHeight="1">
      <c r="A63" s="25"/>
      <c r="B63" s="26"/>
      <c r="C63" s="25"/>
      <c r="D63" s="25"/>
      <c r="E63" s="25"/>
      <c r="F63" s="25"/>
      <c r="G63" s="25"/>
      <c r="H63" s="25"/>
      <c r="I63" s="25"/>
      <c r="J63" s="43"/>
      <c r="K63" s="43"/>
    </row>
    <row r="64" ht="15.75" customHeight="1">
      <c r="A64" s="23"/>
      <c r="B64" s="24"/>
      <c r="C64" s="23"/>
      <c r="D64" s="23"/>
      <c r="E64" s="23"/>
      <c r="F64" s="23"/>
      <c r="G64" s="23"/>
      <c r="H64" s="23"/>
      <c r="I64" s="23"/>
      <c r="J64" s="45"/>
      <c r="K64" s="45"/>
    </row>
    <row r="65" ht="15.75" customHeight="1">
      <c r="A65" s="25"/>
      <c r="B65" s="26"/>
      <c r="C65" s="25"/>
      <c r="D65" s="25"/>
      <c r="E65" s="25"/>
      <c r="F65" s="25"/>
      <c r="G65" s="25"/>
      <c r="H65" s="25"/>
      <c r="I65" s="25"/>
      <c r="J65" s="43"/>
      <c r="K65" s="43"/>
    </row>
    <row r="66" ht="15.75" customHeight="1">
      <c r="A66" s="23"/>
      <c r="B66" s="24"/>
      <c r="C66" s="23"/>
      <c r="D66" s="23"/>
      <c r="E66" s="23"/>
      <c r="F66" s="23"/>
      <c r="G66" s="23"/>
      <c r="H66" s="23"/>
      <c r="I66" s="23"/>
      <c r="J66" s="45"/>
      <c r="K66" s="45"/>
    </row>
    <row r="67" ht="15.75" customHeight="1">
      <c r="A67" s="25"/>
      <c r="B67" s="26"/>
      <c r="C67" s="25"/>
      <c r="D67" s="25"/>
      <c r="E67" s="25"/>
      <c r="F67" s="25"/>
      <c r="G67" s="25"/>
      <c r="H67" s="25"/>
      <c r="I67" s="25"/>
      <c r="J67" s="43"/>
      <c r="K67" s="43"/>
    </row>
    <row r="68" ht="15.75" customHeight="1">
      <c r="A68" s="23"/>
      <c r="B68" s="24"/>
      <c r="C68" s="23"/>
      <c r="D68" s="23"/>
      <c r="E68" s="23"/>
      <c r="F68" s="23"/>
      <c r="G68" s="23"/>
      <c r="H68" s="23"/>
      <c r="I68" s="23"/>
      <c r="J68" s="45"/>
      <c r="K68" s="45"/>
    </row>
    <row r="69" ht="15.75" customHeight="1">
      <c r="A69" s="25"/>
      <c r="B69" s="26"/>
      <c r="C69" s="25"/>
      <c r="D69" s="25"/>
      <c r="E69" s="25"/>
      <c r="F69" s="25"/>
      <c r="G69" s="25"/>
      <c r="H69" s="25"/>
      <c r="I69" s="25"/>
      <c r="J69" s="43"/>
      <c r="K69" s="43"/>
    </row>
    <row r="70" ht="15.75" customHeight="1">
      <c r="A70" s="23"/>
      <c r="B70" s="24"/>
      <c r="C70" s="23"/>
      <c r="D70" s="23"/>
      <c r="E70" s="23"/>
      <c r="F70" s="23"/>
      <c r="G70" s="23"/>
      <c r="H70" s="23"/>
      <c r="I70" s="23"/>
      <c r="J70" s="45"/>
      <c r="K70" s="45"/>
    </row>
    <row r="71" ht="15.75" customHeight="1">
      <c r="A71" s="25"/>
      <c r="B71" s="26"/>
      <c r="C71" s="25"/>
      <c r="D71" s="25"/>
      <c r="E71" s="25"/>
      <c r="F71" s="25"/>
      <c r="G71" s="25"/>
      <c r="H71" s="25"/>
      <c r="I71" s="25"/>
      <c r="J71" s="43"/>
      <c r="K71" s="43"/>
    </row>
    <row r="72" ht="15.75" customHeight="1">
      <c r="A72" s="23"/>
      <c r="B72" s="24"/>
      <c r="C72" s="23"/>
      <c r="D72" s="23"/>
      <c r="E72" s="23"/>
      <c r="F72" s="23"/>
      <c r="G72" s="23"/>
      <c r="H72" s="23"/>
      <c r="I72" s="23"/>
      <c r="J72" s="45"/>
      <c r="K72" s="45"/>
    </row>
    <row r="73" ht="15.75" customHeight="1">
      <c r="A73" s="25"/>
      <c r="B73" s="26"/>
      <c r="C73" s="25"/>
      <c r="D73" s="25"/>
      <c r="E73" s="25"/>
      <c r="F73" s="25"/>
      <c r="G73" s="25"/>
      <c r="H73" s="25"/>
      <c r="I73" s="25"/>
      <c r="J73" s="43"/>
      <c r="K73" s="43"/>
    </row>
    <row r="74" ht="15.75" customHeight="1">
      <c r="A74" s="23"/>
      <c r="B74" s="24"/>
      <c r="C74" s="23"/>
      <c r="D74" s="23"/>
      <c r="E74" s="23"/>
      <c r="F74" s="23"/>
      <c r="G74" s="23"/>
      <c r="H74" s="23"/>
      <c r="I74" s="23"/>
      <c r="J74" s="45"/>
      <c r="K74" s="45"/>
    </row>
    <row r="75" ht="15.75" customHeight="1">
      <c r="A75" s="25"/>
      <c r="B75" s="26"/>
      <c r="C75" s="25"/>
      <c r="D75" s="25"/>
      <c r="E75" s="25"/>
      <c r="F75" s="25"/>
      <c r="G75" s="25"/>
      <c r="H75" s="25"/>
      <c r="I75" s="25"/>
      <c r="J75" s="43"/>
      <c r="K75" s="43"/>
    </row>
    <row r="76" ht="15.75" customHeight="1">
      <c r="A76" s="23"/>
      <c r="B76" s="24"/>
      <c r="C76" s="23"/>
      <c r="D76" s="23"/>
      <c r="E76" s="23"/>
      <c r="F76" s="23"/>
      <c r="G76" s="23"/>
      <c r="H76" s="23"/>
      <c r="I76" s="23"/>
      <c r="J76" s="45"/>
      <c r="K76" s="45"/>
    </row>
    <row r="77" ht="15.75" customHeight="1">
      <c r="A77" s="25"/>
      <c r="B77" s="26"/>
      <c r="C77" s="25"/>
      <c r="D77" s="25"/>
      <c r="E77" s="25"/>
      <c r="F77" s="25"/>
      <c r="G77" s="25"/>
      <c r="H77" s="25"/>
      <c r="I77" s="25"/>
      <c r="J77" s="43"/>
      <c r="K77" s="43"/>
    </row>
    <row r="78" ht="15.75" customHeight="1">
      <c r="A78" s="23"/>
      <c r="B78" s="24"/>
      <c r="C78" s="23"/>
      <c r="D78" s="23"/>
      <c r="E78" s="23"/>
      <c r="F78" s="23"/>
      <c r="G78" s="23"/>
      <c r="H78" s="23"/>
      <c r="I78" s="23"/>
      <c r="J78" s="45"/>
      <c r="K78" s="45"/>
    </row>
    <row r="79" ht="15.75" customHeight="1">
      <c r="A79" s="25"/>
      <c r="B79" s="26"/>
      <c r="C79" s="25"/>
      <c r="D79" s="25"/>
      <c r="E79" s="25"/>
      <c r="F79" s="25"/>
      <c r="G79" s="25"/>
      <c r="H79" s="25"/>
      <c r="I79" s="25"/>
      <c r="J79" s="43"/>
      <c r="K79" s="43"/>
    </row>
    <row r="80" ht="15.75" customHeight="1">
      <c r="A80" s="23"/>
      <c r="B80" s="24"/>
      <c r="C80" s="23"/>
      <c r="D80" s="23"/>
      <c r="E80" s="23"/>
      <c r="F80" s="23"/>
      <c r="G80" s="23"/>
      <c r="H80" s="23"/>
      <c r="I80" s="23"/>
      <c r="J80" s="45"/>
      <c r="K80" s="45"/>
    </row>
    <row r="81" ht="15.75" customHeight="1">
      <c r="A81" s="25"/>
      <c r="B81" s="26"/>
      <c r="C81" s="25"/>
      <c r="D81" s="25"/>
      <c r="E81" s="25"/>
      <c r="F81" s="25"/>
      <c r="G81" s="25"/>
      <c r="H81" s="25"/>
      <c r="I81" s="25"/>
      <c r="J81" s="43"/>
      <c r="K81" s="43"/>
    </row>
    <row r="82" ht="15.75" customHeight="1">
      <c r="A82" s="23"/>
      <c r="B82" s="24"/>
      <c r="C82" s="23"/>
      <c r="D82" s="23"/>
      <c r="E82" s="23"/>
      <c r="F82" s="23"/>
      <c r="G82" s="23"/>
      <c r="H82" s="23"/>
      <c r="I82" s="23"/>
      <c r="J82" s="45"/>
      <c r="K82" s="45"/>
    </row>
    <row r="83" ht="15.75" customHeight="1">
      <c r="A83" s="25"/>
      <c r="B83" s="26"/>
      <c r="C83" s="25"/>
      <c r="D83" s="25"/>
      <c r="E83" s="25"/>
      <c r="F83" s="25"/>
      <c r="G83" s="25"/>
      <c r="H83" s="25"/>
      <c r="I83" s="25"/>
      <c r="J83" s="43"/>
      <c r="K83" s="43"/>
    </row>
    <row r="84" ht="15.75" customHeight="1">
      <c r="A84" s="23"/>
      <c r="B84" s="24"/>
      <c r="C84" s="23"/>
      <c r="D84" s="23"/>
      <c r="E84" s="23"/>
      <c r="F84" s="23"/>
      <c r="G84" s="23"/>
      <c r="H84" s="23"/>
      <c r="I84" s="23"/>
      <c r="J84" s="45"/>
      <c r="K84" s="45"/>
    </row>
    <row r="85" ht="15.75" customHeight="1">
      <c r="A85" s="25"/>
      <c r="B85" s="26"/>
      <c r="C85" s="25"/>
      <c r="D85" s="25"/>
      <c r="E85" s="25"/>
      <c r="F85" s="25"/>
      <c r="G85" s="25"/>
      <c r="H85" s="25"/>
      <c r="I85" s="25"/>
      <c r="J85" s="43"/>
      <c r="K85" s="43"/>
    </row>
    <row r="86" ht="15.75" customHeight="1">
      <c r="A86" s="23"/>
      <c r="B86" s="24"/>
      <c r="C86" s="23"/>
      <c r="D86" s="23"/>
      <c r="E86" s="23"/>
      <c r="F86" s="23"/>
      <c r="G86" s="23"/>
      <c r="H86" s="23"/>
      <c r="I86" s="23"/>
      <c r="J86" s="45"/>
      <c r="K86" s="45"/>
    </row>
    <row r="87" ht="15.75" customHeight="1">
      <c r="A87" s="25"/>
      <c r="B87" s="26"/>
      <c r="C87" s="25"/>
      <c r="D87" s="25"/>
      <c r="E87" s="25"/>
      <c r="F87" s="25"/>
      <c r="G87" s="25"/>
      <c r="H87" s="25"/>
      <c r="I87" s="25"/>
      <c r="J87" s="43"/>
      <c r="K87" s="43"/>
    </row>
    <row r="88" ht="15.75" customHeight="1">
      <c r="A88" s="23"/>
      <c r="B88" s="24"/>
      <c r="C88" s="23"/>
      <c r="D88" s="23"/>
      <c r="E88" s="23"/>
      <c r="F88" s="23"/>
      <c r="G88" s="23"/>
      <c r="H88" s="23"/>
      <c r="I88" s="23"/>
      <c r="J88" s="45"/>
      <c r="K88" s="45"/>
    </row>
    <row r="89" ht="15.75" customHeight="1">
      <c r="A89" s="25"/>
      <c r="B89" s="26"/>
      <c r="C89" s="25"/>
      <c r="D89" s="25"/>
      <c r="E89" s="25"/>
      <c r="F89" s="25"/>
      <c r="G89" s="25"/>
      <c r="H89" s="25"/>
      <c r="I89" s="25"/>
      <c r="J89" s="43"/>
      <c r="K89" s="43"/>
    </row>
    <row r="90" ht="15.75" customHeight="1">
      <c r="A90" s="23"/>
      <c r="B90" s="24"/>
      <c r="C90" s="23"/>
      <c r="D90" s="23"/>
      <c r="E90" s="23"/>
      <c r="F90" s="23"/>
      <c r="G90" s="23"/>
      <c r="H90" s="23"/>
      <c r="I90" s="23"/>
      <c r="J90" s="45"/>
      <c r="K90" s="45"/>
    </row>
    <row r="91" ht="15.75" customHeight="1">
      <c r="A91" s="25"/>
      <c r="B91" s="26"/>
      <c r="C91" s="25"/>
      <c r="D91" s="25"/>
      <c r="E91" s="25"/>
      <c r="F91" s="25"/>
      <c r="G91" s="25"/>
      <c r="H91" s="25"/>
      <c r="I91" s="25"/>
      <c r="J91" s="43"/>
      <c r="K91" s="43"/>
    </row>
    <row r="92" ht="15.75" customHeight="1">
      <c r="A92" s="23"/>
      <c r="B92" s="24"/>
      <c r="C92" s="23"/>
      <c r="D92" s="23"/>
      <c r="E92" s="23"/>
      <c r="F92" s="23"/>
      <c r="G92" s="23"/>
      <c r="H92" s="23"/>
      <c r="I92" s="23"/>
      <c r="J92" s="45"/>
      <c r="K92" s="45"/>
    </row>
    <row r="93" ht="15.75" customHeight="1">
      <c r="A93" s="25"/>
      <c r="B93" s="26"/>
      <c r="C93" s="25"/>
      <c r="D93" s="25"/>
      <c r="E93" s="25"/>
      <c r="F93" s="25"/>
      <c r="G93" s="25"/>
      <c r="H93" s="25"/>
      <c r="I93" s="25"/>
      <c r="J93" s="43"/>
      <c r="K93" s="43"/>
    </row>
    <row r="94" ht="15.75" customHeight="1">
      <c r="A94" s="23"/>
      <c r="B94" s="24"/>
      <c r="C94" s="23"/>
      <c r="D94" s="23"/>
      <c r="E94" s="23"/>
      <c r="F94" s="23"/>
      <c r="G94" s="23"/>
      <c r="H94" s="23"/>
      <c r="I94" s="23"/>
      <c r="J94" s="45"/>
      <c r="K94" s="45"/>
    </row>
    <row r="95" ht="15.75" customHeight="1">
      <c r="A95" s="25"/>
      <c r="B95" s="26"/>
      <c r="C95" s="25"/>
      <c r="D95" s="25"/>
      <c r="E95" s="25"/>
      <c r="F95" s="25"/>
      <c r="G95" s="25"/>
      <c r="H95" s="25"/>
      <c r="I95" s="25"/>
      <c r="J95" s="43"/>
      <c r="K95" s="43"/>
    </row>
    <row r="96" ht="15.75" customHeight="1">
      <c r="A96" s="23"/>
      <c r="B96" s="24"/>
      <c r="C96" s="23"/>
      <c r="D96" s="23"/>
      <c r="E96" s="23"/>
      <c r="F96" s="23"/>
      <c r="G96" s="23"/>
      <c r="H96" s="23"/>
      <c r="I96" s="23"/>
      <c r="J96" s="45"/>
      <c r="K96" s="45"/>
    </row>
    <row r="97" ht="15.75" customHeight="1">
      <c r="A97" s="25"/>
      <c r="B97" s="26"/>
      <c r="C97" s="25"/>
      <c r="D97" s="25"/>
      <c r="E97" s="25"/>
      <c r="F97" s="25"/>
      <c r="G97" s="25"/>
      <c r="H97" s="25"/>
      <c r="I97" s="25"/>
      <c r="J97" s="43"/>
      <c r="K97" s="43"/>
    </row>
    <row r="98" ht="15.75" customHeight="1">
      <c r="A98" s="23"/>
      <c r="B98" s="24"/>
      <c r="C98" s="23"/>
      <c r="D98" s="23"/>
      <c r="E98" s="23"/>
      <c r="F98" s="23"/>
      <c r="G98" s="23"/>
      <c r="H98" s="23"/>
      <c r="I98" s="23"/>
      <c r="J98" s="45"/>
      <c r="K98" s="45"/>
    </row>
    <row r="99" ht="15.75" customHeight="1">
      <c r="A99" s="25"/>
      <c r="B99" s="26"/>
      <c r="C99" s="25"/>
      <c r="D99" s="25"/>
      <c r="E99" s="25"/>
      <c r="F99" s="25"/>
      <c r="G99" s="25"/>
      <c r="H99" s="25"/>
      <c r="I99" s="25"/>
      <c r="J99" s="43"/>
      <c r="K99" s="43"/>
    </row>
    <row r="100" ht="15.75" customHeight="1">
      <c r="A100" s="23"/>
      <c r="B100" s="24"/>
      <c r="C100" s="23"/>
      <c r="D100" s="23"/>
      <c r="E100" s="23"/>
      <c r="F100" s="23"/>
      <c r="G100" s="23"/>
      <c r="H100" s="23"/>
      <c r="I100" s="23"/>
      <c r="J100" s="45"/>
      <c r="K100" s="45"/>
    </row>
    <row r="101" ht="15.75" customHeight="1">
      <c r="A101" s="25"/>
      <c r="B101" s="26"/>
      <c r="C101" s="25"/>
      <c r="D101" s="25"/>
      <c r="E101" s="25"/>
      <c r="F101" s="25"/>
      <c r="G101" s="25"/>
      <c r="H101" s="25"/>
      <c r="I101" s="25"/>
      <c r="J101" s="43"/>
      <c r="K101" s="43"/>
    </row>
    <row r="102" ht="15.75" customHeight="1">
      <c r="A102" s="23"/>
      <c r="B102" s="24"/>
      <c r="C102" s="23"/>
      <c r="D102" s="23"/>
      <c r="E102" s="23"/>
      <c r="F102" s="23"/>
      <c r="G102" s="23"/>
      <c r="H102" s="23"/>
      <c r="I102" s="23"/>
      <c r="J102" s="45"/>
      <c r="K102" s="45"/>
    </row>
    <row r="103" ht="15.75" customHeight="1">
      <c r="A103" s="25"/>
      <c r="B103" s="26"/>
      <c r="C103" s="25"/>
      <c r="D103" s="25"/>
      <c r="E103" s="25"/>
      <c r="F103" s="25"/>
      <c r="G103" s="25"/>
      <c r="H103" s="25"/>
      <c r="I103" s="25"/>
      <c r="J103" s="43"/>
      <c r="K103" s="43"/>
    </row>
    <row r="104" ht="15.75" customHeight="1">
      <c r="A104" s="23"/>
      <c r="B104" s="24"/>
      <c r="C104" s="23"/>
      <c r="D104" s="23"/>
      <c r="E104" s="23"/>
      <c r="F104" s="23"/>
      <c r="G104" s="23"/>
      <c r="H104" s="23"/>
      <c r="I104" s="23"/>
      <c r="J104" s="45"/>
      <c r="K104" s="45"/>
    </row>
    <row r="105" ht="15.75" customHeight="1">
      <c r="A105" s="25"/>
      <c r="B105" s="26"/>
      <c r="C105" s="25"/>
      <c r="D105" s="25"/>
      <c r="E105" s="25"/>
      <c r="F105" s="25"/>
      <c r="G105" s="25"/>
      <c r="H105" s="25"/>
      <c r="I105" s="25"/>
      <c r="J105" s="43"/>
      <c r="K105" s="43"/>
    </row>
    <row r="106" ht="15.75" customHeight="1">
      <c r="A106" s="23"/>
      <c r="B106" s="24"/>
      <c r="C106" s="23"/>
      <c r="D106" s="23"/>
      <c r="E106" s="23"/>
      <c r="F106" s="23"/>
      <c r="G106" s="23"/>
      <c r="H106" s="23"/>
      <c r="I106" s="23"/>
      <c r="J106" s="45"/>
      <c r="K106" s="45"/>
    </row>
    <row r="107" ht="15.75" customHeight="1">
      <c r="A107" s="25"/>
      <c r="B107" s="26"/>
      <c r="C107" s="25"/>
      <c r="D107" s="25"/>
      <c r="E107" s="25"/>
      <c r="F107" s="25"/>
      <c r="G107" s="25"/>
      <c r="H107" s="25"/>
      <c r="I107" s="25"/>
      <c r="J107" s="43"/>
      <c r="K107" s="43"/>
    </row>
    <row r="108" ht="15.75" customHeight="1">
      <c r="A108" s="23"/>
      <c r="B108" s="24"/>
      <c r="C108" s="23"/>
      <c r="D108" s="23"/>
      <c r="E108" s="23"/>
      <c r="F108" s="23"/>
      <c r="G108" s="23"/>
      <c r="H108" s="23"/>
      <c r="I108" s="23"/>
      <c r="J108" s="45"/>
      <c r="K108" s="45"/>
    </row>
    <row r="109" ht="15.75" customHeight="1">
      <c r="A109" s="25"/>
      <c r="B109" s="26"/>
      <c r="C109" s="25"/>
      <c r="D109" s="25"/>
      <c r="E109" s="25"/>
      <c r="F109" s="25"/>
      <c r="G109" s="25"/>
      <c r="H109" s="25"/>
      <c r="I109" s="25"/>
      <c r="J109" s="43"/>
      <c r="K109" s="43"/>
    </row>
    <row r="110" ht="15.75" customHeight="1">
      <c r="A110" s="23"/>
      <c r="B110" s="24"/>
      <c r="C110" s="23"/>
      <c r="D110" s="23"/>
      <c r="E110" s="23"/>
      <c r="F110" s="23"/>
      <c r="G110" s="23"/>
      <c r="H110" s="23"/>
      <c r="I110" s="23"/>
      <c r="J110" s="45"/>
      <c r="K110" s="45"/>
    </row>
    <row r="111" ht="15.75" customHeight="1">
      <c r="A111" s="25"/>
      <c r="B111" s="26"/>
      <c r="C111" s="25"/>
      <c r="D111" s="25"/>
      <c r="E111" s="25"/>
      <c r="F111" s="25"/>
      <c r="G111" s="25"/>
      <c r="H111" s="25"/>
      <c r="I111" s="25"/>
      <c r="J111" s="43"/>
      <c r="K111" s="43"/>
    </row>
    <row r="112" ht="15.75" customHeight="1">
      <c r="A112" s="23"/>
      <c r="B112" s="24"/>
      <c r="C112" s="23"/>
      <c r="D112" s="23"/>
      <c r="E112" s="23"/>
      <c r="F112" s="23"/>
      <c r="G112" s="23"/>
      <c r="H112" s="23"/>
      <c r="I112" s="23"/>
      <c r="J112" s="45"/>
      <c r="K112" s="45"/>
    </row>
    <row r="113" ht="15.75" customHeight="1">
      <c r="A113" s="25"/>
      <c r="B113" s="26"/>
      <c r="C113" s="25"/>
      <c r="D113" s="25"/>
      <c r="E113" s="25"/>
      <c r="F113" s="25"/>
      <c r="G113" s="25"/>
      <c r="H113" s="25"/>
      <c r="I113" s="25"/>
      <c r="J113" s="43"/>
      <c r="K113" s="43"/>
    </row>
    <row r="114" ht="15.75" customHeight="1">
      <c r="A114" s="23"/>
      <c r="B114" s="24"/>
      <c r="C114" s="23"/>
      <c r="D114" s="23"/>
      <c r="E114" s="23"/>
      <c r="F114" s="23"/>
      <c r="G114" s="23"/>
      <c r="H114" s="23"/>
      <c r="I114" s="23"/>
      <c r="J114" s="45"/>
      <c r="K114" s="45"/>
    </row>
    <row r="115" ht="15.75" customHeight="1">
      <c r="A115" s="25"/>
      <c r="B115" s="26"/>
      <c r="C115" s="25"/>
      <c r="D115" s="25"/>
      <c r="E115" s="25"/>
      <c r="F115" s="25"/>
      <c r="G115" s="25"/>
      <c r="H115" s="25"/>
      <c r="I115" s="25"/>
      <c r="J115" s="43"/>
      <c r="K115" s="43"/>
    </row>
    <row r="116" ht="15.75" customHeight="1">
      <c r="A116" s="23"/>
      <c r="B116" s="24"/>
      <c r="C116" s="23"/>
      <c r="D116" s="23"/>
      <c r="E116" s="23"/>
      <c r="F116" s="23"/>
      <c r="G116" s="23"/>
      <c r="H116" s="23"/>
      <c r="I116" s="23"/>
      <c r="J116" s="45"/>
      <c r="K116" s="45"/>
    </row>
    <row r="117" ht="15.75" customHeight="1">
      <c r="A117" s="25"/>
      <c r="B117" s="26"/>
      <c r="C117" s="25"/>
      <c r="D117" s="25"/>
      <c r="E117" s="25"/>
      <c r="F117" s="25"/>
      <c r="G117" s="25"/>
      <c r="H117" s="25"/>
      <c r="I117" s="25"/>
      <c r="J117" s="43"/>
      <c r="K117" s="43"/>
    </row>
    <row r="118" ht="15.75" customHeight="1">
      <c r="A118" s="23"/>
      <c r="B118" s="24"/>
      <c r="C118" s="23"/>
      <c r="D118" s="23"/>
      <c r="E118" s="23"/>
      <c r="F118" s="23"/>
      <c r="G118" s="23"/>
      <c r="H118" s="23"/>
      <c r="I118" s="23"/>
      <c r="J118" s="45"/>
      <c r="K118" s="45"/>
    </row>
    <row r="119" ht="15.75" customHeight="1">
      <c r="A119" s="25"/>
      <c r="B119" s="26"/>
      <c r="C119" s="25"/>
      <c r="D119" s="25"/>
      <c r="E119" s="25"/>
      <c r="F119" s="25"/>
      <c r="G119" s="25"/>
      <c r="H119" s="25"/>
      <c r="I119" s="25"/>
      <c r="J119" s="43"/>
      <c r="K119" s="43"/>
    </row>
    <row r="120" ht="15.75" customHeight="1">
      <c r="A120" s="23"/>
      <c r="B120" s="24"/>
      <c r="C120" s="23"/>
      <c r="D120" s="23"/>
      <c r="E120" s="23"/>
      <c r="F120" s="23"/>
      <c r="G120" s="23"/>
      <c r="H120" s="23"/>
      <c r="I120" s="23"/>
      <c r="J120" s="45"/>
      <c r="K120" s="45"/>
    </row>
    <row r="121" ht="15.75" customHeight="1">
      <c r="A121" s="25"/>
      <c r="B121" s="26"/>
      <c r="C121" s="25"/>
      <c r="D121" s="25"/>
      <c r="E121" s="25"/>
      <c r="F121" s="25"/>
      <c r="G121" s="25"/>
      <c r="H121" s="25"/>
      <c r="I121" s="25"/>
      <c r="J121" s="43"/>
      <c r="K121" s="43"/>
    </row>
    <row r="122" ht="15.75" customHeight="1">
      <c r="A122" s="23"/>
      <c r="B122" s="24"/>
      <c r="C122" s="23"/>
      <c r="D122" s="23"/>
      <c r="E122" s="23"/>
      <c r="F122" s="23"/>
      <c r="G122" s="23"/>
      <c r="H122" s="23"/>
      <c r="I122" s="23"/>
      <c r="J122" s="45"/>
      <c r="K122" s="45"/>
    </row>
    <row r="123" ht="15.75" customHeight="1">
      <c r="A123" s="25"/>
      <c r="B123" s="26"/>
      <c r="C123" s="25"/>
      <c r="D123" s="25"/>
      <c r="E123" s="25"/>
      <c r="F123" s="25"/>
      <c r="G123" s="25"/>
      <c r="H123" s="25"/>
      <c r="I123" s="25"/>
      <c r="J123" s="43"/>
      <c r="K123" s="43"/>
    </row>
    <row r="124" ht="15.75" customHeight="1">
      <c r="A124" s="23"/>
      <c r="B124" s="24"/>
      <c r="C124" s="23"/>
      <c r="D124" s="23"/>
      <c r="E124" s="23"/>
      <c r="F124" s="23"/>
      <c r="G124" s="23"/>
      <c r="H124" s="23"/>
      <c r="I124" s="23"/>
      <c r="J124" s="45"/>
      <c r="K124" s="45"/>
    </row>
    <row r="125" ht="15.75" customHeight="1">
      <c r="A125" s="25"/>
      <c r="B125" s="26"/>
      <c r="C125" s="25"/>
      <c r="D125" s="25"/>
      <c r="E125" s="25"/>
      <c r="F125" s="25"/>
      <c r="G125" s="25"/>
      <c r="H125" s="25"/>
      <c r="I125" s="25"/>
      <c r="J125" s="43"/>
      <c r="K125" s="43"/>
    </row>
    <row r="126" ht="15.75" customHeight="1">
      <c r="A126" s="23"/>
      <c r="B126" s="24"/>
      <c r="C126" s="23"/>
      <c r="D126" s="23"/>
      <c r="E126" s="23"/>
      <c r="F126" s="23"/>
      <c r="G126" s="23"/>
      <c r="H126" s="23"/>
      <c r="I126" s="23"/>
      <c r="J126" s="45"/>
      <c r="K126" s="45"/>
    </row>
    <row r="127" ht="15.75" customHeight="1">
      <c r="A127" s="25"/>
      <c r="B127" s="26"/>
      <c r="C127" s="25"/>
      <c r="D127" s="25"/>
      <c r="E127" s="25"/>
      <c r="F127" s="25"/>
      <c r="G127" s="25"/>
      <c r="H127" s="25"/>
      <c r="I127" s="25"/>
      <c r="J127" s="43"/>
      <c r="K127" s="43"/>
    </row>
    <row r="128" ht="15.75" customHeight="1">
      <c r="A128" s="23"/>
      <c r="B128" s="24"/>
      <c r="C128" s="23"/>
      <c r="D128" s="23"/>
      <c r="E128" s="23"/>
      <c r="F128" s="23"/>
      <c r="G128" s="23"/>
      <c r="H128" s="23"/>
      <c r="I128" s="23"/>
      <c r="J128" s="45"/>
      <c r="K128" s="45"/>
    </row>
    <row r="129" ht="15.75" customHeight="1">
      <c r="A129" s="25"/>
      <c r="B129" s="26"/>
      <c r="C129" s="25"/>
      <c r="D129" s="25"/>
      <c r="E129" s="25"/>
      <c r="F129" s="25"/>
      <c r="G129" s="25"/>
      <c r="H129" s="25"/>
      <c r="I129" s="25"/>
      <c r="J129" s="43"/>
      <c r="K129" s="43"/>
    </row>
    <row r="130" ht="15.75" customHeight="1">
      <c r="A130" s="23"/>
      <c r="B130" s="24"/>
      <c r="C130" s="23"/>
      <c r="D130" s="23"/>
      <c r="E130" s="23"/>
      <c r="F130" s="23"/>
      <c r="G130" s="23"/>
      <c r="H130" s="23"/>
      <c r="I130" s="23"/>
      <c r="J130" s="45"/>
      <c r="K130" s="45"/>
    </row>
    <row r="131" ht="15.75" customHeight="1">
      <c r="A131" s="25"/>
      <c r="B131" s="26"/>
      <c r="C131" s="25"/>
      <c r="D131" s="25"/>
      <c r="E131" s="25"/>
      <c r="F131" s="25"/>
      <c r="G131" s="25"/>
      <c r="H131" s="25"/>
      <c r="I131" s="25"/>
      <c r="J131" s="43"/>
      <c r="K131" s="43"/>
    </row>
    <row r="132" ht="15.75" customHeight="1">
      <c r="A132" s="23"/>
      <c r="B132" s="24"/>
      <c r="C132" s="23"/>
      <c r="D132" s="23"/>
      <c r="E132" s="23"/>
      <c r="F132" s="23"/>
      <c r="G132" s="23"/>
      <c r="H132" s="23"/>
      <c r="I132" s="23"/>
      <c r="J132" s="45"/>
      <c r="K132" s="45"/>
    </row>
    <row r="133" ht="15.75" customHeight="1">
      <c r="A133" s="25"/>
      <c r="B133" s="26"/>
      <c r="C133" s="25"/>
      <c r="D133" s="25"/>
      <c r="E133" s="25"/>
      <c r="F133" s="25"/>
      <c r="G133" s="25"/>
      <c r="H133" s="25"/>
      <c r="I133" s="25"/>
      <c r="J133" s="43"/>
      <c r="K133" s="43"/>
    </row>
    <row r="134" ht="15.75" customHeight="1">
      <c r="A134" s="23"/>
      <c r="B134" s="24"/>
      <c r="C134" s="23"/>
      <c r="D134" s="23"/>
      <c r="E134" s="23"/>
      <c r="F134" s="23"/>
      <c r="G134" s="23"/>
      <c r="H134" s="23"/>
      <c r="I134" s="23"/>
      <c r="J134" s="45"/>
      <c r="K134" s="45"/>
    </row>
    <row r="135" ht="15.75" customHeight="1">
      <c r="A135" s="25"/>
      <c r="B135" s="26"/>
      <c r="C135" s="25"/>
      <c r="D135" s="25"/>
      <c r="E135" s="25"/>
      <c r="F135" s="25"/>
      <c r="G135" s="25"/>
      <c r="H135" s="25"/>
      <c r="I135" s="25"/>
      <c r="J135" s="43"/>
      <c r="K135" s="43"/>
    </row>
    <row r="136" ht="15.75" customHeight="1">
      <c r="A136" s="23"/>
      <c r="B136" s="24"/>
      <c r="C136" s="23"/>
      <c r="D136" s="23"/>
      <c r="E136" s="23"/>
      <c r="F136" s="23"/>
      <c r="G136" s="23"/>
      <c r="H136" s="23"/>
      <c r="I136" s="23"/>
      <c r="J136" s="45"/>
      <c r="K136" s="45"/>
    </row>
    <row r="137" ht="15.75" customHeight="1">
      <c r="A137" s="25"/>
      <c r="B137" s="26"/>
      <c r="C137" s="25"/>
      <c r="D137" s="25"/>
      <c r="E137" s="25"/>
      <c r="F137" s="25"/>
      <c r="G137" s="25"/>
      <c r="H137" s="25"/>
      <c r="I137" s="25"/>
      <c r="J137" s="43"/>
      <c r="K137" s="43"/>
    </row>
    <row r="138" ht="15.75" customHeight="1">
      <c r="A138" s="23"/>
      <c r="B138" s="24"/>
      <c r="C138" s="23"/>
      <c r="D138" s="23"/>
      <c r="E138" s="23"/>
      <c r="F138" s="23"/>
      <c r="G138" s="23"/>
      <c r="H138" s="23"/>
      <c r="I138" s="23"/>
      <c r="J138" s="45"/>
      <c r="K138" s="45"/>
    </row>
    <row r="139" ht="15.75" customHeight="1">
      <c r="A139" s="25"/>
      <c r="B139" s="26"/>
      <c r="C139" s="25"/>
      <c r="D139" s="25"/>
      <c r="E139" s="25"/>
      <c r="F139" s="25"/>
      <c r="G139" s="25"/>
      <c r="H139" s="25"/>
      <c r="I139" s="25"/>
      <c r="J139" s="43"/>
      <c r="K139" s="43"/>
    </row>
    <row r="140" ht="15.75" customHeight="1">
      <c r="A140" s="23"/>
      <c r="B140" s="24"/>
      <c r="C140" s="23"/>
      <c r="D140" s="23"/>
      <c r="E140" s="23"/>
      <c r="F140" s="23"/>
      <c r="G140" s="23"/>
      <c r="H140" s="23"/>
      <c r="I140" s="23"/>
      <c r="J140" s="45"/>
      <c r="K140" s="45"/>
    </row>
    <row r="141" ht="15.75" customHeight="1">
      <c r="A141" s="25"/>
      <c r="B141" s="26"/>
      <c r="C141" s="25"/>
      <c r="D141" s="25"/>
      <c r="E141" s="25"/>
      <c r="F141" s="25"/>
      <c r="G141" s="25"/>
      <c r="H141" s="25"/>
      <c r="I141" s="25"/>
      <c r="J141" s="43"/>
      <c r="K141" s="43"/>
    </row>
    <row r="142" ht="15.75" customHeight="1">
      <c r="A142" s="23"/>
      <c r="B142" s="24"/>
      <c r="C142" s="23"/>
      <c r="D142" s="23"/>
      <c r="E142" s="23"/>
      <c r="F142" s="23"/>
      <c r="G142" s="23"/>
      <c r="H142" s="23"/>
      <c r="I142" s="23"/>
      <c r="J142" s="45"/>
      <c r="K142" s="45"/>
    </row>
    <row r="143" ht="15.75" customHeight="1">
      <c r="A143" s="25"/>
      <c r="B143" s="26"/>
      <c r="C143" s="25"/>
      <c r="D143" s="25"/>
      <c r="E143" s="25"/>
      <c r="F143" s="25"/>
      <c r="G143" s="25"/>
      <c r="H143" s="25"/>
      <c r="I143" s="25"/>
      <c r="J143" s="43"/>
      <c r="K143" s="43"/>
    </row>
    <row r="144" ht="15.75" customHeight="1">
      <c r="A144" s="23"/>
      <c r="B144" s="24"/>
      <c r="C144" s="23"/>
      <c r="D144" s="23"/>
      <c r="E144" s="23"/>
      <c r="F144" s="23"/>
      <c r="G144" s="23"/>
      <c r="H144" s="23"/>
      <c r="I144" s="23"/>
      <c r="J144" s="45"/>
      <c r="K144" s="45"/>
    </row>
    <row r="145" ht="15.75" customHeight="1">
      <c r="A145" s="25"/>
      <c r="B145" s="26"/>
      <c r="C145" s="25"/>
      <c r="D145" s="25"/>
      <c r="E145" s="25"/>
      <c r="F145" s="25"/>
      <c r="G145" s="25"/>
      <c r="H145" s="25"/>
      <c r="I145" s="25"/>
      <c r="J145" s="43"/>
      <c r="K145" s="43"/>
    </row>
    <row r="146" ht="15.75" customHeight="1">
      <c r="A146" s="23"/>
      <c r="B146" s="24"/>
      <c r="C146" s="23"/>
      <c r="D146" s="23"/>
      <c r="E146" s="23"/>
      <c r="F146" s="23"/>
      <c r="G146" s="23"/>
      <c r="H146" s="23"/>
      <c r="I146" s="23"/>
      <c r="J146" s="45"/>
      <c r="K146" s="45"/>
    </row>
    <row r="147" ht="15.75" customHeight="1">
      <c r="A147" s="25"/>
      <c r="B147" s="26"/>
      <c r="C147" s="25"/>
      <c r="D147" s="25"/>
      <c r="E147" s="25"/>
      <c r="F147" s="25"/>
      <c r="G147" s="25"/>
      <c r="H147" s="25"/>
      <c r="I147" s="25"/>
      <c r="J147" s="43"/>
      <c r="K147" s="43"/>
    </row>
    <row r="148" ht="15.75" customHeight="1">
      <c r="A148" s="23"/>
      <c r="B148" s="24"/>
      <c r="C148" s="23"/>
      <c r="D148" s="23"/>
      <c r="E148" s="23"/>
      <c r="F148" s="23"/>
      <c r="G148" s="23"/>
      <c r="H148" s="23"/>
      <c r="I148" s="23"/>
      <c r="J148" s="45"/>
      <c r="K148" s="45"/>
    </row>
    <row r="149" ht="15.75" customHeight="1">
      <c r="A149" s="25"/>
      <c r="B149" s="26"/>
      <c r="C149" s="25"/>
      <c r="D149" s="25"/>
      <c r="E149" s="25"/>
      <c r="F149" s="25"/>
      <c r="G149" s="25"/>
      <c r="H149" s="25"/>
      <c r="I149" s="25"/>
      <c r="J149" s="43"/>
      <c r="K149" s="43"/>
    </row>
    <row r="150" ht="15.75" customHeight="1">
      <c r="A150" s="23"/>
      <c r="B150" s="24"/>
      <c r="C150" s="23"/>
      <c r="D150" s="23"/>
      <c r="E150" s="23"/>
      <c r="F150" s="23"/>
      <c r="G150" s="23"/>
      <c r="H150" s="23"/>
      <c r="I150" s="23"/>
      <c r="J150" s="45"/>
      <c r="K150" s="45"/>
    </row>
    <row r="151" ht="15.75" customHeight="1">
      <c r="A151" s="25"/>
      <c r="B151" s="26"/>
      <c r="C151" s="25"/>
      <c r="D151" s="25"/>
      <c r="E151" s="25"/>
      <c r="F151" s="25"/>
      <c r="G151" s="25"/>
      <c r="H151" s="25"/>
      <c r="I151" s="25"/>
      <c r="J151" s="43"/>
      <c r="K151" s="43"/>
    </row>
    <row r="152" ht="15.75" customHeight="1">
      <c r="A152" s="23"/>
      <c r="B152" s="24"/>
      <c r="C152" s="23"/>
      <c r="D152" s="23"/>
      <c r="E152" s="23"/>
      <c r="F152" s="23"/>
      <c r="G152" s="23"/>
      <c r="H152" s="23"/>
      <c r="I152" s="23"/>
      <c r="J152" s="45"/>
      <c r="K152" s="45"/>
    </row>
    <row r="153" ht="15.75" customHeight="1">
      <c r="A153" s="25"/>
      <c r="B153" s="26"/>
      <c r="C153" s="25"/>
      <c r="D153" s="25"/>
      <c r="E153" s="25"/>
      <c r="F153" s="25"/>
      <c r="G153" s="25"/>
      <c r="H153" s="25"/>
      <c r="I153" s="25"/>
      <c r="J153" s="43"/>
      <c r="K153" s="43"/>
    </row>
    <row r="154" ht="15.75" customHeight="1">
      <c r="A154" s="23"/>
      <c r="B154" s="24"/>
      <c r="C154" s="23"/>
      <c r="D154" s="23"/>
      <c r="E154" s="23"/>
      <c r="F154" s="23"/>
      <c r="G154" s="23"/>
      <c r="H154" s="23"/>
      <c r="I154" s="23"/>
      <c r="J154" s="45"/>
      <c r="K154" s="45"/>
    </row>
    <row r="155" ht="15.75" customHeight="1">
      <c r="A155" s="25"/>
      <c r="B155" s="26"/>
      <c r="C155" s="25"/>
      <c r="D155" s="25"/>
      <c r="E155" s="25"/>
      <c r="F155" s="25"/>
      <c r="G155" s="25"/>
      <c r="H155" s="25"/>
      <c r="I155" s="25"/>
      <c r="J155" s="43"/>
      <c r="K155" s="43"/>
    </row>
    <row r="156" ht="15.75" customHeight="1">
      <c r="A156" s="23"/>
      <c r="B156" s="24"/>
      <c r="C156" s="23"/>
      <c r="D156" s="23"/>
      <c r="E156" s="23"/>
      <c r="F156" s="23"/>
      <c r="G156" s="23"/>
      <c r="H156" s="23"/>
      <c r="I156" s="23"/>
      <c r="J156" s="45"/>
      <c r="K156" s="45"/>
    </row>
    <row r="157" ht="15.75" customHeight="1">
      <c r="A157" s="25"/>
      <c r="B157" s="26"/>
      <c r="C157" s="25"/>
      <c r="D157" s="25"/>
      <c r="E157" s="25"/>
      <c r="F157" s="25"/>
      <c r="G157" s="25"/>
      <c r="H157" s="25"/>
      <c r="I157" s="25"/>
      <c r="J157" s="43"/>
      <c r="K157" s="43"/>
    </row>
    <row r="158" ht="15.75" customHeight="1">
      <c r="A158" s="23"/>
      <c r="B158" s="24"/>
      <c r="C158" s="23"/>
      <c r="D158" s="23"/>
      <c r="E158" s="23"/>
      <c r="F158" s="23"/>
      <c r="G158" s="23"/>
      <c r="H158" s="23"/>
      <c r="I158" s="23"/>
      <c r="J158" s="45"/>
      <c r="K158" s="45"/>
    </row>
    <row r="159" ht="15.75" customHeight="1">
      <c r="A159" s="25"/>
      <c r="B159" s="26"/>
      <c r="C159" s="25"/>
      <c r="D159" s="25"/>
      <c r="E159" s="25"/>
      <c r="F159" s="25"/>
      <c r="G159" s="25"/>
      <c r="H159" s="25"/>
      <c r="I159" s="25"/>
      <c r="J159" s="43"/>
      <c r="K159" s="43"/>
    </row>
    <row r="160" ht="15.75" customHeight="1">
      <c r="A160" s="23"/>
      <c r="B160" s="24"/>
      <c r="C160" s="23"/>
      <c r="D160" s="23"/>
      <c r="E160" s="23"/>
      <c r="F160" s="23"/>
      <c r="G160" s="23"/>
      <c r="H160" s="23"/>
      <c r="I160" s="23"/>
      <c r="J160" s="45"/>
      <c r="K160" s="45"/>
    </row>
    <row r="161" ht="15.75" customHeight="1">
      <c r="A161" s="25"/>
      <c r="B161" s="26"/>
      <c r="C161" s="25"/>
      <c r="D161" s="25"/>
      <c r="E161" s="25"/>
      <c r="F161" s="25"/>
      <c r="G161" s="25"/>
      <c r="H161" s="25"/>
      <c r="I161" s="25"/>
      <c r="J161" s="43"/>
      <c r="K161" s="43"/>
    </row>
    <row r="162" ht="15.75" customHeight="1">
      <c r="A162" s="23"/>
      <c r="B162" s="24"/>
      <c r="C162" s="23"/>
      <c r="D162" s="23"/>
      <c r="E162" s="23"/>
      <c r="F162" s="23"/>
      <c r="G162" s="23"/>
      <c r="H162" s="23"/>
      <c r="I162" s="23"/>
      <c r="J162" s="45"/>
      <c r="K162" s="45"/>
    </row>
    <row r="163" ht="15.75" customHeight="1">
      <c r="A163" s="25"/>
      <c r="B163" s="26"/>
      <c r="C163" s="25"/>
      <c r="D163" s="25"/>
      <c r="E163" s="25"/>
      <c r="F163" s="25"/>
      <c r="G163" s="25"/>
      <c r="H163" s="25"/>
      <c r="I163" s="25"/>
      <c r="J163" s="43"/>
      <c r="K163" s="43"/>
    </row>
    <row r="164" ht="15.75" customHeight="1">
      <c r="A164" s="23"/>
      <c r="B164" s="24"/>
      <c r="C164" s="23"/>
      <c r="D164" s="23"/>
      <c r="E164" s="23"/>
      <c r="F164" s="23"/>
      <c r="G164" s="23"/>
      <c r="H164" s="23"/>
      <c r="I164" s="23"/>
      <c r="J164" s="45"/>
      <c r="K164" s="45"/>
    </row>
    <row r="165" ht="15.75" customHeight="1">
      <c r="A165" s="25"/>
      <c r="B165" s="26"/>
      <c r="C165" s="25"/>
      <c r="D165" s="25"/>
      <c r="E165" s="25"/>
      <c r="F165" s="25"/>
      <c r="G165" s="25"/>
      <c r="H165" s="25"/>
      <c r="I165" s="25"/>
      <c r="J165" s="43"/>
      <c r="K165" s="43"/>
    </row>
    <row r="166" ht="15.75" customHeight="1">
      <c r="A166" s="23"/>
      <c r="B166" s="24"/>
      <c r="C166" s="23"/>
      <c r="D166" s="23"/>
      <c r="E166" s="23"/>
      <c r="F166" s="23"/>
      <c r="G166" s="23"/>
      <c r="H166" s="23"/>
      <c r="I166" s="23"/>
      <c r="J166" s="45"/>
      <c r="K166" s="45"/>
    </row>
    <row r="167" ht="15.75" customHeight="1">
      <c r="A167" s="25"/>
      <c r="B167" s="26"/>
      <c r="C167" s="25"/>
      <c r="D167" s="25"/>
      <c r="E167" s="25"/>
      <c r="F167" s="25"/>
      <c r="G167" s="25"/>
      <c r="H167" s="25"/>
      <c r="I167" s="25"/>
      <c r="J167" s="43"/>
      <c r="K167" s="43"/>
    </row>
    <row r="168" ht="15.75" customHeight="1">
      <c r="A168" s="23"/>
      <c r="B168" s="24"/>
      <c r="C168" s="23"/>
      <c r="D168" s="23"/>
      <c r="E168" s="23"/>
      <c r="F168" s="23"/>
      <c r="G168" s="23"/>
      <c r="H168" s="23"/>
      <c r="I168" s="23"/>
      <c r="J168" s="45"/>
      <c r="K168" s="45"/>
    </row>
    <row r="169" ht="15.75" customHeight="1">
      <c r="A169" s="25"/>
      <c r="B169" s="26"/>
      <c r="C169" s="25"/>
      <c r="D169" s="25"/>
      <c r="E169" s="25"/>
      <c r="F169" s="25"/>
      <c r="G169" s="25"/>
      <c r="H169" s="25"/>
      <c r="I169" s="25"/>
      <c r="J169" s="43"/>
      <c r="K169" s="43"/>
    </row>
    <row r="170" ht="15.75" customHeight="1">
      <c r="A170" s="23"/>
      <c r="B170" s="24"/>
      <c r="C170" s="23"/>
      <c r="D170" s="23"/>
      <c r="E170" s="23"/>
      <c r="F170" s="23"/>
      <c r="G170" s="23"/>
      <c r="H170" s="23"/>
      <c r="I170" s="23"/>
      <c r="J170" s="45"/>
      <c r="K170" s="45"/>
    </row>
    <row r="171" ht="15.75" customHeight="1">
      <c r="A171" s="25"/>
      <c r="B171" s="26"/>
      <c r="C171" s="25"/>
      <c r="D171" s="25"/>
      <c r="E171" s="25"/>
      <c r="F171" s="25"/>
      <c r="G171" s="25"/>
      <c r="H171" s="25"/>
      <c r="I171" s="25"/>
      <c r="J171" s="43"/>
      <c r="K171" s="43"/>
    </row>
    <row r="172" ht="15.75" customHeight="1">
      <c r="A172" s="23"/>
      <c r="B172" s="24"/>
      <c r="C172" s="23"/>
      <c r="D172" s="23"/>
      <c r="E172" s="23"/>
      <c r="F172" s="23"/>
      <c r="G172" s="23"/>
      <c r="H172" s="23"/>
      <c r="I172" s="23"/>
      <c r="J172" s="45"/>
      <c r="K172" s="45"/>
    </row>
    <row r="173" ht="15.75" customHeight="1">
      <c r="A173" s="25"/>
      <c r="B173" s="26"/>
      <c r="C173" s="25"/>
      <c r="D173" s="25"/>
      <c r="E173" s="25"/>
      <c r="F173" s="25"/>
      <c r="G173" s="25"/>
      <c r="H173" s="25"/>
      <c r="I173" s="25"/>
      <c r="J173" s="43"/>
      <c r="K173" s="43"/>
    </row>
    <row r="174" ht="15.75" customHeight="1">
      <c r="A174" s="23"/>
      <c r="B174" s="24"/>
      <c r="C174" s="23"/>
      <c r="D174" s="23"/>
      <c r="E174" s="23"/>
      <c r="F174" s="23"/>
      <c r="G174" s="23"/>
      <c r="H174" s="23"/>
      <c r="I174" s="23"/>
      <c r="J174" s="45"/>
      <c r="K174" s="45"/>
    </row>
    <row r="175" ht="15.75" customHeight="1">
      <c r="A175" s="25"/>
      <c r="B175" s="26"/>
      <c r="C175" s="25"/>
      <c r="D175" s="25"/>
      <c r="E175" s="25"/>
      <c r="F175" s="25"/>
      <c r="G175" s="25"/>
      <c r="H175" s="25"/>
      <c r="I175" s="25"/>
      <c r="J175" s="43"/>
      <c r="K175" s="43"/>
    </row>
    <row r="176" ht="15.75" customHeight="1">
      <c r="A176" s="23"/>
      <c r="B176" s="24"/>
      <c r="C176" s="23"/>
      <c r="D176" s="23"/>
      <c r="E176" s="23"/>
      <c r="F176" s="23"/>
      <c r="G176" s="23"/>
      <c r="H176" s="23"/>
      <c r="I176" s="23"/>
      <c r="J176" s="45"/>
      <c r="K176" s="45"/>
    </row>
    <row r="177" ht="15.75" customHeight="1">
      <c r="A177" s="25"/>
      <c r="B177" s="26"/>
      <c r="C177" s="25"/>
      <c r="D177" s="25"/>
      <c r="E177" s="25"/>
      <c r="F177" s="25"/>
      <c r="G177" s="25"/>
      <c r="H177" s="25"/>
      <c r="I177" s="25"/>
      <c r="J177" s="43"/>
      <c r="K177" s="43"/>
    </row>
    <row r="178" ht="15.75" customHeight="1">
      <c r="A178" s="23"/>
      <c r="B178" s="24"/>
      <c r="C178" s="23"/>
      <c r="D178" s="23"/>
      <c r="E178" s="23"/>
      <c r="F178" s="23"/>
      <c r="G178" s="23"/>
      <c r="H178" s="23"/>
      <c r="I178" s="23"/>
      <c r="J178" s="45"/>
      <c r="K178" s="45"/>
    </row>
    <row r="179" ht="15.75" customHeight="1">
      <c r="A179" s="25"/>
      <c r="B179" s="26"/>
      <c r="C179" s="25"/>
      <c r="D179" s="25"/>
      <c r="E179" s="25"/>
      <c r="F179" s="25"/>
      <c r="G179" s="25"/>
      <c r="H179" s="25"/>
      <c r="I179" s="25"/>
      <c r="J179" s="43"/>
      <c r="K179" s="43"/>
    </row>
    <row r="180" ht="15.75" customHeight="1">
      <c r="A180" s="23"/>
      <c r="B180" s="24"/>
      <c r="C180" s="23"/>
      <c r="D180" s="23"/>
      <c r="E180" s="23"/>
      <c r="F180" s="23"/>
      <c r="G180" s="23"/>
      <c r="H180" s="23"/>
      <c r="I180" s="23"/>
      <c r="J180" s="45"/>
      <c r="K180" s="45"/>
    </row>
    <row r="181" ht="15.75" customHeight="1">
      <c r="A181" s="25"/>
      <c r="B181" s="26"/>
      <c r="C181" s="25"/>
      <c r="D181" s="25"/>
      <c r="E181" s="25"/>
      <c r="F181" s="25"/>
      <c r="G181" s="25"/>
      <c r="H181" s="25"/>
      <c r="I181" s="25"/>
      <c r="J181" s="43"/>
      <c r="K181" s="43"/>
    </row>
    <row r="182" ht="15.75" customHeight="1">
      <c r="A182" s="23"/>
      <c r="B182" s="24"/>
      <c r="C182" s="23"/>
      <c r="D182" s="23"/>
      <c r="E182" s="23"/>
      <c r="F182" s="23"/>
      <c r="G182" s="23"/>
      <c r="H182" s="23"/>
      <c r="I182" s="23"/>
      <c r="J182" s="45"/>
      <c r="K182" s="45"/>
    </row>
    <row r="183" ht="15.75" customHeight="1">
      <c r="A183" s="25"/>
      <c r="B183" s="26"/>
      <c r="C183" s="25"/>
      <c r="D183" s="25"/>
      <c r="E183" s="25"/>
      <c r="F183" s="25"/>
      <c r="G183" s="25"/>
      <c r="H183" s="25"/>
      <c r="I183" s="25"/>
      <c r="J183" s="43"/>
      <c r="K183" s="43"/>
    </row>
    <row r="184" ht="15.75" customHeight="1">
      <c r="A184" s="23"/>
      <c r="B184" s="24"/>
      <c r="C184" s="23"/>
      <c r="D184" s="23"/>
      <c r="E184" s="23"/>
      <c r="F184" s="23"/>
      <c r="G184" s="23"/>
      <c r="H184" s="23"/>
      <c r="I184" s="23"/>
      <c r="J184" s="45"/>
      <c r="K184" s="45"/>
    </row>
    <row r="185" ht="15.75" customHeight="1">
      <c r="A185" s="25"/>
      <c r="B185" s="26"/>
      <c r="C185" s="25"/>
      <c r="D185" s="25"/>
      <c r="E185" s="25"/>
      <c r="F185" s="25"/>
      <c r="G185" s="25"/>
      <c r="H185" s="25"/>
      <c r="I185" s="25"/>
      <c r="J185" s="43"/>
      <c r="K185" s="43"/>
    </row>
    <row r="186" ht="15.75" customHeight="1">
      <c r="A186" s="23"/>
      <c r="B186" s="24"/>
      <c r="C186" s="23"/>
      <c r="D186" s="23"/>
      <c r="E186" s="23"/>
      <c r="F186" s="23"/>
      <c r="G186" s="23"/>
      <c r="H186" s="23"/>
      <c r="I186" s="23"/>
      <c r="J186" s="45"/>
      <c r="K186" s="45"/>
    </row>
    <row r="187" ht="15.75" customHeight="1">
      <c r="A187" s="25"/>
      <c r="B187" s="26"/>
      <c r="C187" s="25"/>
      <c r="D187" s="25"/>
      <c r="E187" s="25"/>
      <c r="F187" s="25"/>
      <c r="G187" s="25"/>
      <c r="H187" s="25"/>
      <c r="I187" s="25"/>
      <c r="J187" s="43"/>
      <c r="K187" s="43"/>
    </row>
    <row r="188" ht="15.75" customHeight="1">
      <c r="A188" s="23"/>
      <c r="B188" s="24"/>
      <c r="C188" s="23"/>
      <c r="D188" s="23"/>
      <c r="E188" s="23"/>
      <c r="F188" s="23"/>
      <c r="G188" s="23"/>
      <c r="H188" s="23"/>
      <c r="I188" s="23"/>
      <c r="J188" s="45"/>
      <c r="K188" s="45"/>
    </row>
    <row r="189" ht="15.75" customHeight="1">
      <c r="A189" s="25"/>
      <c r="B189" s="26"/>
      <c r="C189" s="25"/>
      <c r="D189" s="25"/>
      <c r="E189" s="25"/>
      <c r="F189" s="25"/>
      <c r="G189" s="25"/>
      <c r="H189" s="25"/>
      <c r="I189" s="25"/>
      <c r="J189" s="43"/>
      <c r="K189" s="43"/>
    </row>
    <row r="190" ht="15.75" customHeight="1">
      <c r="A190" s="23"/>
      <c r="B190" s="24"/>
      <c r="C190" s="23"/>
      <c r="D190" s="23"/>
      <c r="E190" s="23"/>
      <c r="F190" s="23"/>
      <c r="G190" s="23"/>
      <c r="H190" s="23"/>
      <c r="I190" s="23"/>
      <c r="J190" s="45"/>
      <c r="K190" s="45"/>
    </row>
    <row r="191" ht="15.75" customHeight="1">
      <c r="A191" s="25"/>
      <c r="B191" s="26"/>
      <c r="C191" s="25"/>
      <c r="D191" s="25"/>
      <c r="E191" s="25"/>
      <c r="F191" s="25"/>
      <c r="G191" s="25"/>
      <c r="H191" s="25"/>
      <c r="I191" s="25"/>
      <c r="J191" s="43"/>
      <c r="K191" s="43"/>
    </row>
    <row r="192" ht="15.75" customHeight="1">
      <c r="A192" s="23"/>
      <c r="B192" s="24"/>
      <c r="C192" s="23"/>
      <c r="D192" s="23"/>
      <c r="E192" s="23"/>
      <c r="F192" s="23"/>
      <c r="G192" s="23"/>
      <c r="H192" s="23"/>
      <c r="I192" s="23"/>
      <c r="J192" s="45"/>
      <c r="K192" s="45"/>
    </row>
    <row r="193" ht="15.75" customHeight="1">
      <c r="A193" s="25"/>
      <c r="B193" s="26"/>
      <c r="C193" s="25"/>
      <c r="D193" s="25"/>
      <c r="E193" s="25"/>
      <c r="F193" s="25"/>
      <c r="G193" s="25"/>
      <c r="H193" s="25"/>
      <c r="I193" s="25"/>
      <c r="J193" s="43"/>
      <c r="K193" s="43"/>
    </row>
    <row r="194" ht="15.75" customHeight="1">
      <c r="A194" s="23"/>
      <c r="B194" s="24"/>
      <c r="C194" s="23"/>
      <c r="D194" s="23"/>
      <c r="E194" s="23"/>
      <c r="F194" s="23"/>
      <c r="G194" s="23"/>
      <c r="H194" s="23"/>
      <c r="I194" s="23"/>
      <c r="J194" s="45"/>
      <c r="K194" s="45"/>
    </row>
    <row r="195" ht="15.75" customHeight="1">
      <c r="A195" s="25"/>
      <c r="B195" s="26"/>
      <c r="C195" s="25"/>
      <c r="D195" s="25"/>
      <c r="E195" s="25"/>
      <c r="F195" s="25"/>
      <c r="G195" s="25"/>
      <c r="H195" s="25"/>
      <c r="I195" s="25"/>
      <c r="J195" s="43"/>
      <c r="K195" s="43"/>
    </row>
    <row r="196" ht="15.75" customHeight="1">
      <c r="A196" s="23"/>
      <c r="B196" s="24"/>
      <c r="C196" s="23"/>
      <c r="D196" s="23"/>
      <c r="E196" s="23"/>
      <c r="F196" s="23"/>
      <c r="G196" s="23"/>
      <c r="H196" s="23"/>
      <c r="I196" s="23"/>
      <c r="J196" s="45"/>
      <c r="K196" s="45"/>
    </row>
    <row r="197" ht="15.75" customHeight="1">
      <c r="A197" s="25"/>
      <c r="B197" s="26"/>
      <c r="C197" s="25"/>
      <c r="D197" s="25"/>
      <c r="E197" s="25"/>
      <c r="F197" s="25"/>
      <c r="G197" s="25"/>
      <c r="H197" s="25"/>
      <c r="I197" s="25"/>
      <c r="J197" s="43"/>
      <c r="K197" s="43"/>
    </row>
    <row r="198" ht="15.75" customHeight="1">
      <c r="A198" s="23"/>
      <c r="B198" s="24"/>
      <c r="C198" s="23"/>
      <c r="D198" s="23"/>
      <c r="E198" s="23"/>
      <c r="F198" s="23"/>
      <c r="G198" s="23"/>
      <c r="H198" s="23"/>
      <c r="I198" s="23"/>
      <c r="J198" s="45"/>
      <c r="K198" s="45"/>
    </row>
    <row r="199" ht="15.75" customHeight="1">
      <c r="A199" s="25"/>
      <c r="B199" s="26"/>
      <c r="C199" s="25"/>
      <c r="D199" s="25"/>
      <c r="E199" s="25"/>
      <c r="F199" s="25"/>
      <c r="G199" s="25"/>
      <c r="H199" s="25"/>
      <c r="I199" s="25"/>
      <c r="J199" s="43"/>
      <c r="K199" s="43"/>
    </row>
    <row r="200" ht="15.75" customHeight="1">
      <c r="A200" s="23"/>
      <c r="B200" s="24"/>
      <c r="C200" s="23"/>
      <c r="D200" s="23"/>
      <c r="E200" s="23"/>
      <c r="F200" s="23"/>
      <c r="G200" s="23"/>
      <c r="H200" s="23"/>
      <c r="I200" s="23"/>
      <c r="J200" s="45"/>
      <c r="K200" s="45"/>
    </row>
    <row r="201" ht="15.75" customHeight="1">
      <c r="A201" s="25"/>
      <c r="B201" s="26"/>
      <c r="C201" s="25"/>
      <c r="D201" s="25"/>
      <c r="E201" s="25"/>
      <c r="F201" s="25"/>
      <c r="G201" s="25"/>
      <c r="H201" s="25"/>
      <c r="I201" s="25"/>
      <c r="J201" s="43"/>
      <c r="K201" s="43"/>
    </row>
    <row r="202" ht="15.75" customHeight="1">
      <c r="A202" s="23"/>
      <c r="B202" s="24"/>
      <c r="C202" s="23"/>
      <c r="D202" s="23"/>
      <c r="E202" s="23"/>
      <c r="F202" s="23"/>
      <c r="G202" s="23"/>
      <c r="H202" s="23"/>
      <c r="I202" s="23"/>
      <c r="J202" s="45"/>
      <c r="K202" s="45"/>
    </row>
    <row r="203" ht="15.75" customHeight="1">
      <c r="A203" s="25"/>
      <c r="B203" s="26"/>
      <c r="C203" s="25"/>
      <c r="D203" s="25"/>
      <c r="E203" s="25"/>
      <c r="F203" s="25"/>
      <c r="G203" s="25"/>
      <c r="H203" s="25"/>
      <c r="I203" s="25"/>
      <c r="J203" s="43"/>
      <c r="K203" s="43"/>
    </row>
    <row r="204" ht="15.75" customHeight="1">
      <c r="A204" s="23"/>
      <c r="B204" s="24"/>
      <c r="C204" s="23"/>
      <c r="D204" s="23"/>
      <c r="E204" s="23"/>
      <c r="F204" s="23"/>
      <c r="G204" s="23"/>
      <c r="H204" s="23"/>
      <c r="I204" s="23"/>
      <c r="J204" s="45"/>
      <c r="K204" s="45"/>
    </row>
    <row r="205" ht="15.75" customHeight="1">
      <c r="A205" s="25"/>
      <c r="B205" s="26"/>
      <c r="C205" s="25"/>
      <c r="D205" s="25"/>
      <c r="E205" s="25"/>
      <c r="F205" s="25"/>
      <c r="G205" s="25"/>
      <c r="H205" s="25"/>
      <c r="I205" s="25"/>
      <c r="J205" s="43"/>
      <c r="K205" s="43"/>
    </row>
    <row r="206" ht="15.75" customHeight="1">
      <c r="A206" s="23"/>
      <c r="B206" s="24"/>
      <c r="C206" s="23"/>
      <c r="D206" s="23"/>
      <c r="E206" s="23"/>
      <c r="F206" s="23"/>
      <c r="G206" s="23"/>
      <c r="H206" s="23"/>
      <c r="I206" s="23"/>
      <c r="J206" s="45"/>
      <c r="K206" s="45"/>
    </row>
    <row r="207" ht="15.75" customHeight="1">
      <c r="A207" s="25"/>
      <c r="B207" s="26"/>
      <c r="C207" s="25"/>
      <c r="D207" s="25"/>
      <c r="E207" s="25"/>
      <c r="F207" s="25"/>
      <c r="G207" s="25"/>
      <c r="H207" s="25"/>
      <c r="I207" s="25"/>
      <c r="J207" s="43"/>
      <c r="K207" s="43"/>
    </row>
    <row r="208" ht="15.75" customHeight="1">
      <c r="A208" s="23"/>
      <c r="B208" s="24"/>
      <c r="C208" s="23"/>
      <c r="D208" s="23"/>
      <c r="E208" s="23"/>
      <c r="F208" s="23"/>
      <c r="G208" s="23"/>
      <c r="H208" s="23"/>
      <c r="I208" s="23"/>
      <c r="J208" s="45"/>
      <c r="K208" s="45"/>
    </row>
    <row r="209" ht="15.75" customHeight="1">
      <c r="A209" s="25"/>
      <c r="B209" s="26"/>
      <c r="C209" s="25"/>
      <c r="D209" s="25"/>
      <c r="E209" s="25"/>
      <c r="F209" s="25"/>
      <c r="G209" s="25"/>
      <c r="H209" s="25"/>
      <c r="I209" s="25"/>
      <c r="J209" s="43"/>
      <c r="K209" s="43"/>
    </row>
    <row r="210" ht="15.75" customHeight="1">
      <c r="A210" s="23"/>
      <c r="B210" s="24"/>
      <c r="C210" s="23"/>
      <c r="D210" s="23"/>
      <c r="E210" s="23"/>
      <c r="F210" s="23"/>
      <c r="G210" s="23"/>
      <c r="H210" s="23"/>
      <c r="I210" s="23"/>
      <c r="J210" s="45"/>
      <c r="K210" s="45"/>
    </row>
    <row r="211" ht="15.75" customHeight="1">
      <c r="A211" s="25"/>
      <c r="B211" s="26"/>
      <c r="C211" s="25"/>
      <c r="D211" s="25"/>
      <c r="E211" s="25"/>
      <c r="F211" s="25"/>
      <c r="G211" s="25"/>
      <c r="H211" s="25"/>
      <c r="I211" s="25"/>
      <c r="J211" s="43"/>
      <c r="K211" s="43"/>
    </row>
    <row r="212" ht="15.75" customHeight="1">
      <c r="A212" s="23"/>
      <c r="B212" s="24"/>
      <c r="C212" s="23"/>
      <c r="D212" s="23"/>
      <c r="E212" s="23"/>
      <c r="F212" s="23"/>
      <c r="G212" s="23"/>
      <c r="H212" s="23"/>
      <c r="I212" s="23"/>
      <c r="J212" s="45"/>
      <c r="K212" s="45"/>
    </row>
    <row r="213" ht="15.75" customHeight="1">
      <c r="A213" s="25"/>
      <c r="B213" s="26"/>
      <c r="C213" s="25"/>
      <c r="D213" s="25"/>
      <c r="E213" s="25"/>
      <c r="F213" s="25"/>
      <c r="G213" s="25"/>
      <c r="H213" s="25"/>
      <c r="I213" s="25"/>
      <c r="J213" s="43"/>
      <c r="K213" s="43"/>
    </row>
    <row r="214" ht="15.75" customHeight="1">
      <c r="A214" s="23"/>
      <c r="B214" s="24"/>
      <c r="C214" s="23"/>
      <c r="D214" s="23"/>
      <c r="E214" s="23"/>
      <c r="F214" s="23"/>
      <c r="G214" s="23"/>
      <c r="H214" s="23"/>
      <c r="I214" s="23"/>
      <c r="J214" s="45"/>
      <c r="K214" s="45"/>
    </row>
    <row r="215" ht="15.75" customHeight="1">
      <c r="A215" s="25"/>
      <c r="B215" s="26"/>
      <c r="C215" s="25"/>
      <c r="D215" s="25"/>
      <c r="E215" s="25"/>
      <c r="F215" s="25"/>
      <c r="G215" s="25"/>
      <c r="H215" s="25"/>
      <c r="I215" s="25"/>
      <c r="J215" s="43"/>
      <c r="K215" s="43"/>
    </row>
    <row r="216" ht="15.75" customHeight="1">
      <c r="A216" s="23"/>
      <c r="B216" s="24"/>
      <c r="C216" s="23"/>
      <c r="D216" s="23"/>
      <c r="E216" s="23"/>
      <c r="F216" s="23"/>
      <c r="G216" s="23"/>
      <c r="H216" s="23"/>
      <c r="I216" s="23"/>
      <c r="J216" s="45"/>
      <c r="K216" s="45"/>
    </row>
    <row r="217" ht="15.75" customHeight="1">
      <c r="A217" s="25"/>
      <c r="B217" s="26"/>
      <c r="C217" s="25"/>
      <c r="D217" s="25"/>
      <c r="E217" s="25"/>
      <c r="F217" s="25"/>
      <c r="G217" s="25"/>
      <c r="H217" s="25"/>
      <c r="I217" s="25"/>
      <c r="J217" s="43"/>
      <c r="K217" s="43"/>
    </row>
    <row r="218" ht="15.75" customHeight="1">
      <c r="A218" s="23"/>
      <c r="B218" s="24"/>
      <c r="C218" s="23"/>
      <c r="D218" s="23"/>
      <c r="E218" s="23"/>
      <c r="F218" s="23"/>
      <c r="G218" s="23"/>
      <c r="H218" s="23"/>
      <c r="I218" s="23"/>
      <c r="J218" s="45"/>
      <c r="K218" s="45"/>
    </row>
    <row r="219" ht="15.75" customHeight="1">
      <c r="A219" s="25"/>
      <c r="B219" s="26"/>
      <c r="C219" s="25"/>
      <c r="D219" s="25"/>
      <c r="E219" s="25"/>
      <c r="F219" s="25"/>
      <c r="G219" s="25"/>
      <c r="H219" s="25"/>
      <c r="I219" s="25"/>
      <c r="J219" s="43"/>
      <c r="K219" s="43"/>
    </row>
    <row r="220" ht="15.75" customHeight="1">
      <c r="D220" s="47"/>
      <c r="F220" s="47"/>
    </row>
    <row r="221" ht="15.75" customHeight="1">
      <c r="D221" s="47"/>
      <c r="F221" s="47"/>
    </row>
    <row r="222" ht="15.75" customHeight="1">
      <c r="D222" s="47"/>
      <c r="F222" s="47"/>
    </row>
    <row r="223" ht="15.75" customHeight="1">
      <c r="D223" s="47"/>
      <c r="F223" s="47"/>
    </row>
    <row r="224" ht="15.75" customHeight="1">
      <c r="D224" s="47"/>
      <c r="F224" s="47"/>
    </row>
    <row r="225" ht="15.75" customHeight="1">
      <c r="D225" s="47"/>
      <c r="F225" s="47"/>
    </row>
    <row r="226" ht="15.75" customHeight="1">
      <c r="D226" s="47"/>
      <c r="F226" s="47"/>
    </row>
    <row r="227" ht="15.75" customHeight="1">
      <c r="D227" s="47"/>
      <c r="F227" s="47"/>
    </row>
    <row r="228" ht="15.75" customHeight="1">
      <c r="D228" s="47"/>
      <c r="F228" s="47"/>
    </row>
    <row r="229" ht="15.75" customHeight="1">
      <c r="D229" s="47"/>
      <c r="F229" s="47"/>
    </row>
    <row r="230" ht="15.75" customHeight="1">
      <c r="D230" s="47"/>
      <c r="F230" s="47"/>
    </row>
    <row r="231" ht="15.75" customHeight="1">
      <c r="D231" s="47"/>
      <c r="F231" s="47"/>
    </row>
    <row r="232" ht="15.75" customHeight="1">
      <c r="D232" s="47"/>
      <c r="F232" s="47"/>
    </row>
    <row r="233" ht="15.75" customHeight="1">
      <c r="D233" s="47"/>
      <c r="F233" s="47"/>
    </row>
    <row r="234" ht="15.75" customHeight="1">
      <c r="D234" s="47"/>
      <c r="F234" s="47"/>
    </row>
    <row r="235" ht="15.75" customHeight="1">
      <c r="D235" s="47"/>
      <c r="F235" s="47"/>
    </row>
    <row r="236" ht="15.75" customHeight="1">
      <c r="D236" s="47"/>
      <c r="F236" s="47"/>
    </row>
    <row r="237" ht="15.75" customHeight="1">
      <c r="D237" s="47"/>
      <c r="F237" s="47"/>
    </row>
    <row r="238" ht="15.75" customHeight="1">
      <c r="D238" s="47"/>
      <c r="F238" s="47"/>
    </row>
    <row r="239" ht="15.75" customHeight="1">
      <c r="D239" s="47"/>
      <c r="F239" s="47"/>
    </row>
    <row r="240" ht="15.75" customHeight="1">
      <c r="D240" s="47"/>
      <c r="F240" s="47"/>
    </row>
    <row r="241" ht="15.75" customHeight="1">
      <c r="D241" s="47"/>
      <c r="F241" s="47"/>
    </row>
    <row r="242" ht="15.75" customHeight="1">
      <c r="D242" s="47"/>
      <c r="F242" s="47"/>
    </row>
    <row r="243" ht="15.75" customHeight="1">
      <c r="D243" s="47"/>
      <c r="F243" s="47"/>
    </row>
    <row r="244" ht="15.75" customHeight="1">
      <c r="D244" s="47"/>
      <c r="F244" s="47"/>
    </row>
    <row r="245" ht="15.75" customHeight="1">
      <c r="D245" s="47"/>
      <c r="F245" s="47"/>
    </row>
    <row r="246" ht="15.75" customHeight="1">
      <c r="D246" s="47"/>
      <c r="F246" s="47"/>
    </row>
    <row r="247" ht="15.75" customHeight="1">
      <c r="D247" s="47"/>
      <c r="F247" s="47"/>
    </row>
    <row r="248" ht="15.75" customHeight="1">
      <c r="D248" s="47"/>
      <c r="F248" s="47"/>
    </row>
    <row r="249" ht="15.75" customHeight="1">
      <c r="D249" s="47"/>
      <c r="F249" s="47"/>
    </row>
    <row r="250" ht="15.75" customHeight="1">
      <c r="D250" s="47"/>
      <c r="F250" s="47"/>
    </row>
    <row r="251" ht="15.75" customHeight="1">
      <c r="D251" s="47"/>
      <c r="F251" s="47"/>
    </row>
    <row r="252" ht="15.75" customHeight="1">
      <c r="D252" s="47"/>
      <c r="F252" s="47"/>
    </row>
    <row r="253" ht="15.75" customHeight="1">
      <c r="D253" s="47"/>
      <c r="F253" s="47"/>
    </row>
    <row r="254" ht="15.75" customHeight="1">
      <c r="D254" s="47"/>
      <c r="F254" s="47"/>
    </row>
    <row r="255" ht="15.75" customHeight="1">
      <c r="D255" s="47"/>
      <c r="F255" s="47"/>
    </row>
    <row r="256" ht="15.75" customHeight="1">
      <c r="D256" s="47"/>
      <c r="F256" s="47"/>
    </row>
    <row r="257" ht="15.75" customHeight="1">
      <c r="D257" s="47"/>
      <c r="F257" s="47"/>
    </row>
    <row r="258" ht="15.75" customHeight="1">
      <c r="D258" s="47"/>
      <c r="F258" s="47"/>
    </row>
    <row r="259" ht="15.75" customHeight="1">
      <c r="D259" s="47"/>
      <c r="F259" s="47"/>
    </row>
    <row r="260" ht="15.75" customHeight="1">
      <c r="D260" s="47"/>
      <c r="F260" s="47"/>
    </row>
    <row r="261" ht="15.75" customHeight="1">
      <c r="D261" s="47"/>
      <c r="F261" s="47"/>
    </row>
    <row r="262" ht="15.75" customHeight="1">
      <c r="D262" s="47"/>
      <c r="F262" s="47"/>
    </row>
    <row r="263" ht="15.75" customHeight="1">
      <c r="D263" s="47"/>
      <c r="F263" s="47"/>
    </row>
    <row r="264" ht="15.75" customHeight="1">
      <c r="D264" s="47"/>
      <c r="F264" s="47"/>
    </row>
    <row r="265" ht="15.75" customHeight="1">
      <c r="D265" s="47"/>
      <c r="F265" s="47"/>
    </row>
    <row r="266" ht="15.75" customHeight="1">
      <c r="D266" s="47"/>
      <c r="F266" s="47"/>
    </row>
    <row r="267" ht="15.75" customHeight="1">
      <c r="D267" s="47"/>
      <c r="F267" s="47"/>
    </row>
    <row r="268" ht="15.75" customHeight="1">
      <c r="D268" s="47"/>
      <c r="F268" s="47"/>
    </row>
    <row r="269" ht="15.75" customHeight="1">
      <c r="D269" s="47"/>
      <c r="F269" s="47"/>
    </row>
    <row r="270" ht="15.75" customHeight="1">
      <c r="D270" s="47"/>
      <c r="F270" s="47"/>
    </row>
    <row r="271" ht="15.75" customHeight="1">
      <c r="D271" s="47"/>
      <c r="F271" s="47"/>
    </row>
    <row r="272" ht="15.75" customHeight="1">
      <c r="D272" s="47"/>
      <c r="F272" s="47"/>
    </row>
    <row r="273" ht="15.75" customHeight="1">
      <c r="D273" s="47"/>
      <c r="F273" s="47"/>
    </row>
    <row r="274" ht="15.75" customHeight="1">
      <c r="D274" s="47"/>
      <c r="F274" s="47"/>
    </row>
    <row r="275" ht="15.75" customHeight="1">
      <c r="D275" s="47"/>
      <c r="F275" s="47"/>
    </row>
    <row r="276" ht="15.75" customHeight="1">
      <c r="D276" s="47"/>
      <c r="F276" s="47"/>
    </row>
    <row r="277" ht="15.75" customHeight="1">
      <c r="D277" s="47"/>
      <c r="F277" s="47"/>
    </row>
    <row r="278" ht="15.75" customHeight="1">
      <c r="D278" s="47"/>
      <c r="F278" s="47"/>
    </row>
    <row r="279" ht="15.75" customHeight="1">
      <c r="D279" s="47"/>
      <c r="F279" s="47"/>
    </row>
    <row r="280" ht="15.75" customHeight="1">
      <c r="D280" s="47"/>
      <c r="F280" s="47"/>
    </row>
    <row r="281" ht="15.75" customHeight="1">
      <c r="D281" s="47"/>
      <c r="F281" s="47"/>
    </row>
    <row r="282" ht="15.75" customHeight="1">
      <c r="D282" s="47"/>
      <c r="F282" s="47"/>
    </row>
    <row r="283" ht="15.75" customHeight="1">
      <c r="D283" s="47"/>
      <c r="F283" s="47"/>
    </row>
    <row r="284" ht="15.75" customHeight="1">
      <c r="D284" s="47"/>
      <c r="F284" s="47"/>
    </row>
    <row r="285" ht="15.75" customHeight="1">
      <c r="D285" s="47"/>
      <c r="F285" s="47"/>
    </row>
    <row r="286" ht="15.75" customHeight="1">
      <c r="D286" s="47"/>
      <c r="F286" s="47"/>
    </row>
    <row r="287" ht="15.75" customHeight="1">
      <c r="D287" s="47"/>
      <c r="F287" s="47"/>
    </row>
    <row r="288" ht="15.75" customHeight="1">
      <c r="D288" s="47"/>
      <c r="F288" s="47"/>
    </row>
    <row r="289" ht="15.75" customHeight="1">
      <c r="D289" s="47"/>
      <c r="F289" s="47"/>
    </row>
    <row r="290" ht="15.75" customHeight="1">
      <c r="D290" s="47"/>
      <c r="F290" s="47"/>
    </row>
    <row r="291" ht="15.75" customHeight="1">
      <c r="D291" s="47"/>
      <c r="F291" s="47"/>
    </row>
    <row r="292" ht="15.75" customHeight="1">
      <c r="D292" s="47"/>
      <c r="F292" s="47"/>
    </row>
    <row r="293" ht="15.75" customHeight="1">
      <c r="D293" s="47"/>
      <c r="F293" s="47"/>
    </row>
    <row r="294" ht="15.75" customHeight="1">
      <c r="D294" s="47"/>
      <c r="F294" s="47"/>
    </row>
    <row r="295" ht="15.75" customHeight="1">
      <c r="D295" s="47"/>
      <c r="F295" s="47"/>
    </row>
    <row r="296" ht="15.75" customHeight="1">
      <c r="D296" s="47"/>
      <c r="F296" s="47"/>
    </row>
    <row r="297" ht="15.75" customHeight="1">
      <c r="D297" s="47"/>
      <c r="F297" s="47"/>
    </row>
    <row r="298" ht="15.75" customHeight="1">
      <c r="D298" s="47"/>
      <c r="F298" s="47"/>
    </row>
    <row r="299" ht="15.75" customHeight="1">
      <c r="D299" s="47"/>
      <c r="F299" s="47"/>
    </row>
    <row r="300" ht="15.75" customHeight="1">
      <c r="D300" s="47"/>
      <c r="F300" s="47"/>
    </row>
    <row r="301" ht="15.75" customHeight="1">
      <c r="D301" s="47"/>
      <c r="F301" s="47"/>
    </row>
    <row r="302" ht="15.75" customHeight="1">
      <c r="D302" s="47"/>
      <c r="F302" s="47"/>
    </row>
    <row r="303" ht="15.75" customHeight="1">
      <c r="D303" s="47"/>
      <c r="F303" s="47"/>
    </row>
    <row r="304" ht="15.75" customHeight="1">
      <c r="D304" s="47"/>
      <c r="F304" s="47"/>
    </row>
    <row r="305" ht="15.75" customHeight="1">
      <c r="D305" s="47"/>
      <c r="F305" s="47"/>
    </row>
    <row r="306" ht="15.75" customHeight="1">
      <c r="D306" s="47"/>
      <c r="F306" s="47"/>
    </row>
    <row r="307" ht="15.75" customHeight="1">
      <c r="D307" s="47"/>
      <c r="F307" s="47"/>
    </row>
    <row r="308" ht="15.75" customHeight="1">
      <c r="D308" s="47"/>
      <c r="F308" s="47"/>
    </row>
    <row r="309" ht="15.75" customHeight="1">
      <c r="D309" s="47"/>
      <c r="F309" s="47"/>
    </row>
    <row r="310" ht="15.75" customHeight="1">
      <c r="D310" s="47"/>
      <c r="F310" s="47"/>
    </row>
    <row r="311" ht="15.75" customHeight="1">
      <c r="D311" s="47"/>
      <c r="F311" s="47"/>
    </row>
    <row r="312" ht="15.75" customHeight="1">
      <c r="D312" s="47"/>
      <c r="F312" s="47"/>
    </row>
    <row r="313" ht="15.75" customHeight="1">
      <c r="D313" s="47"/>
      <c r="F313" s="47"/>
    </row>
    <row r="314" ht="15.75" customHeight="1">
      <c r="D314" s="47"/>
      <c r="F314" s="47"/>
    </row>
    <row r="315" ht="15.75" customHeight="1">
      <c r="D315" s="47"/>
      <c r="F315" s="47"/>
    </row>
    <row r="316" ht="15.75" customHeight="1">
      <c r="D316" s="47"/>
      <c r="F316" s="47"/>
    </row>
    <row r="317" ht="15.75" customHeight="1">
      <c r="D317" s="47"/>
      <c r="F317" s="47"/>
    </row>
    <row r="318" ht="15.75" customHeight="1">
      <c r="D318" s="47"/>
      <c r="F318" s="47"/>
    </row>
    <row r="319" ht="15.75" customHeight="1">
      <c r="D319" s="47"/>
      <c r="F319" s="47"/>
    </row>
    <row r="320" ht="15.75" customHeight="1">
      <c r="D320" s="47"/>
      <c r="F320" s="47"/>
    </row>
    <row r="321" ht="15.75" customHeight="1">
      <c r="D321" s="47"/>
      <c r="F321" s="47"/>
    </row>
    <row r="322" ht="15.75" customHeight="1">
      <c r="D322" s="47"/>
      <c r="F322" s="47"/>
    </row>
    <row r="323" ht="15.75" customHeight="1">
      <c r="D323" s="47"/>
      <c r="F323" s="47"/>
    </row>
    <row r="324" ht="15.75" customHeight="1">
      <c r="D324" s="47"/>
      <c r="F324" s="47"/>
    </row>
    <row r="325" ht="15.75" customHeight="1">
      <c r="D325" s="47"/>
      <c r="F325" s="47"/>
    </row>
    <row r="326" ht="15.75" customHeight="1">
      <c r="D326" s="47"/>
      <c r="F326" s="47"/>
    </row>
    <row r="327" ht="15.75" customHeight="1">
      <c r="D327" s="47"/>
      <c r="F327" s="47"/>
    </row>
    <row r="328" ht="15.75" customHeight="1">
      <c r="D328" s="47"/>
      <c r="F328" s="47"/>
    </row>
    <row r="329" ht="15.75" customHeight="1">
      <c r="D329" s="47"/>
      <c r="F329" s="47"/>
    </row>
    <row r="330" ht="15.75" customHeight="1">
      <c r="D330" s="47"/>
      <c r="F330" s="47"/>
    </row>
    <row r="331" ht="15.75" customHeight="1">
      <c r="D331" s="47"/>
      <c r="F331" s="47"/>
    </row>
    <row r="332" ht="15.75" customHeight="1">
      <c r="D332" s="47"/>
      <c r="F332" s="47"/>
    </row>
    <row r="333" ht="15.75" customHeight="1">
      <c r="D333" s="47"/>
      <c r="F333" s="47"/>
    </row>
    <row r="334" ht="15.75" customHeight="1">
      <c r="D334" s="47"/>
      <c r="F334" s="47"/>
    </row>
    <row r="335" ht="15.75" customHeight="1">
      <c r="D335" s="47"/>
      <c r="F335" s="47"/>
    </row>
    <row r="336" ht="15.75" customHeight="1">
      <c r="D336" s="47"/>
      <c r="F336" s="47"/>
    </row>
    <row r="337" ht="15.75" customHeight="1">
      <c r="D337" s="47"/>
      <c r="F337" s="47"/>
    </row>
    <row r="338" ht="15.75" customHeight="1">
      <c r="D338" s="47"/>
      <c r="F338" s="47"/>
    </row>
    <row r="339" ht="15.75" customHeight="1">
      <c r="D339" s="47"/>
      <c r="F339" s="47"/>
    </row>
    <row r="340" ht="15.75" customHeight="1">
      <c r="D340" s="47"/>
      <c r="F340" s="47"/>
    </row>
    <row r="341" ht="15.75" customHeight="1">
      <c r="D341" s="47"/>
      <c r="F341" s="47"/>
    </row>
    <row r="342" ht="15.75" customHeight="1">
      <c r="D342" s="47"/>
      <c r="F342" s="47"/>
    </row>
    <row r="343" ht="15.75" customHeight="1">
      <c r="D343" s="47"/>
      <c r="F343" s="47"/>
    </row>
    <row r="344" ht="15.75" customHeight="1">
      <c r="D344" s="47"/>
      <c r="F344" s="47"/>
    </row>
    <row r="345" ht="15.75" customHeight="1">
      <c r="D345" s="47"/>
      <c r="F345" s="47"/>
    </row>
    <row r="346" ht="15.75" customHeight="1">
      <c r="D346" s="47"/>
      <c r="F346" s="47"/>
    </row>
    <row r="347" ht="15.75" customHeight="1">
      <c r="D347" s="47"/>
      <c r="F347" s="47"/>
    </row>
    <row r="348" ht="15.75" customHeight="1">
      <c r="D348" s="47"/>
      <c r="F348" s="47"/>
    </row>
    <row r="349" ht="15.75" customHeight="1">
      <c r="D349" s="47"/>
      <c r="F349" s="47"/>
    </row>
    <row r="350" ht="15.75" customHeight="1">
      <c r="D350" s="47"/>
      <c r="F350" s="47"/>
    </row>
    <row r="351" ht="15.75" customHeight="1">
      <c r="D351" s="47"/>
      <c r="F351" s="47"/>
    </row>
    <row r="352" ht="15.75" customHeight="1">
      <c r="D352" s="47"/>
      <c r="F352" s="47"/>
    </row>
    <row r="353" ht="15.75" customHeight="1">
      <c r="D353" s="47"/>
      <c r="F353" s="47"/>
    </row>
    <row r="354" ht="15.75" customHeight="1">
      <c r="D354" s="47"/>
      <c r="F354" s="47"/>
    </row>
    <row r="355" ht="15.75" customHeight="1">
      <c r="D355" s="47"/>
      <c r="F355" s="47"/>
    </row>
    <row r="356" ht="15.75" customHeight="1">
      <c r="D356" s="47"/>
      <c r="F356" s="47"/>
    </row>
    <row r="357" ht="15.75" customHeight="1">
      <c r="D357" s="47"/>
      <c r="F357" s="47"/>
    </row>
    <row r="358" ht="15.75" customHeight="1">
      <c r="D358" s="47"/>
      <c r="F358" s="47"/>
    </row>
    <row r="359" ht="15.75" customHeight="1">
      <c r="D359" s="47"/>
      <c r="F359" s="47"/>
    </row>
    <row r="360" ht="15.75" customHeight="1">
      <c r="D360" s="47"/>
      <c r="F360" s="47"/>
    </row>
    <row r="361" ht="15.75" customHeight="1">
      <c r="D361" s="47"/>
      <c r="F361" s="47"/>
    </row>
    <row r="362" ht="15.75" customHeight="1">
      <c r="D362" s="47"/>
      <c r="F362" s="47"/>
    </row>
    <row r="363" ht="15.75" customHeight="1">
      <c r="D363" s="47"/>
      <c r="F363" s="47"/>
    </row>
    <row r="364" ht="15.75" customHeight="1">
      <c r="D364" s="47"/>
      <c r="F364" s="47"/>
    </row>
    <row r="365" ht="15.75" customHeight="1">
      <c r="D365" s="47"/>
      <c r="F365" s="47"/>
    </row>
    <row r="366" ht="15.75" customHeight="1">
      <c r="D366" s="47"/>
      <c r="F366" s="47"/>
    </row>
    <row r="367" ht="15.75" customHeight="1">
      <c r="D367" s="47"/>
      <c r="F367" s="47"/>
    </row>
    <row r="368" ht="15.75" customHeight="1">
      <c r="D368" s="47"/>
      <c r="F368" s="47"/>
    </row>
    <row r="369" ht="15.75" customHeight="1">
      <c r="D369" s="47"/>
      <c r="F369" s="47"/>
    </row>
    <row r="370" ht="15.75" customHeight="1">
      <c r="D370" s="47"/>
      <c r="F370" s="47"/>
    </row>
    <row r="371" ht="15.75" customHeight="1">
      <c r="D371" s="47"/>
      <c r="F371" s="47"/>
    </row>
    <row r="372" ht="15.75" customHeight="1">
      <c r="D372" s="47"/>
      <c r="F372" s="47"/>
    </row>
    <row r="373" ht="15.75" customHeight="1">
      <c r="D373" s="47"/>
      <c r="F373" s="47"/>
    </row>
    <row r="374" ht="15.75" customHeight="1">
      <c r="D374" s="47"/>
      <c r="F374" s="47"/>
    </row>
    <row r="375" ht="15.75" customHeight="1">
      <c r="D375" s="47"/>
      <c r="F375" s="47"/>
    </row>
    <row r="376" ht="15.75" customHeight="1">
      <c r="D376" s="47"/>
      <c r="F376" s="47"/>
    </row>
    <row r="377" ht="15.75" customHeight="1">
      <c r="D377" s="47"/>
      <c r="F377" s="47"/>
    </row>
    <row r="378" ht="15.75" customHeight="1">
      <c r="D378" s="47"/>
      <c r="F378" s="47"/>
    </row>
    <row r="379" ht="15.75" customHeight="1">
      <c r="D379" s="47"/>
      <c r="F379" s="47"/>
    </row>
    <row r="380" ht="15.75" customHeight="1">
      <c r="D380" s="47"/>
      <c r="F380" s="47"/>
    </row>
    <row r="381" ht="15.75" customHeight="1">
      <c r="D381" s="47"/>
      <c r="F381" s="47"/>
    </row>
    <row r="382" ht="15.75" customHeight="1">
      <c r="D382" s="47"/>
      <c r="F382" s="47"/>
    </row>
    <row r="383" ht="15.75" customHeight="1">
      <c r="D383" s="47"/>
      <c r="F383" s="47"/>
    </row>
    <row r="384" ht="15.75" customHeight="1">
      <c r="D384" s="47"/>
      <c r="F384" s="47"/>
    </row>
    <row r="385" ht="15.75" customHeight="1">
      <c r="D385" s="47"/>
      <c r="F385" s="47"/>
    </row>
    <row r="386" ht="15.75" customHeight="1">
      <c r="D386" s="47"/>
      <c r="F386" s="47"/>
    </row>
    <row r="387" ht="15.75" customHeight="1">
      <c r="D387" s="47"/>
      <c r="F387" s="47"/>
    </row>
    <row r="388" ht="15.75" customHeight="1">
      <c r="D388" s="47"/>
      <c r="F388" s="47"/>
    </row>
    <row r="389" ht="15.75" customHeight="1">
      <c r="D389" s="47"/>
      <c r="F389" s="47"/>
    </row>
    <row r="390" ht="15.75" customHeight="1">
      <c r="D390" s="47"/>
      <c r="F390" s="47"/>
    </row>
    <row r="391" ht="15.75" customHeight="1">
      <c r="D391" s="47"/>
      <c r="F391" s="47"/>
    </row>
    <row r="392" ht="15.75" customHeight="1">
      <c r="D392" s="47"/>
      <c r="F392" s="47"/>
    </row>
    <row r="393" ht="15.75" customHeight="1">
      <c r="D393" s="47"/>
      <c r="F393" s="47"/>
    </row>
    <row r="394" ht="15.75" customHeight="1">
      <c r="D394" s="47"/>
      <c r="F394" s="47"/>
    </row>
    <row r="395" ht="15.75" customHeight="1">
      <c r="D395" s="47"/>
      <c r="F395" s="47"/>
    </row>
    <row r="396" ht="15.75" customHeight="1">
      <c r="D396" s="47"/>
      <c r="F396" s="47"/>
    </row>
    <row r="397" ht="15.75" customHeight="1">
      <c r="D397" s="47"/>
      <c r="F397" s="47"/>
    </row>
    <row r="398" ht="15.75" customHeight="1">
      <c r="D398" s="47"/>
      <c r="F398" s="47"/>
    </row>
    <row r="399" ht="15.75" customHeight="1">
      <c r="D399" s="47"/>
      <c r="F399" s="47"/>
    </row>
    <row r="400" ht="15.75" customHeight="1">
      <c r="D400" s="47"/>
      <c r="F400" s="47"/>
    </row>
    <row r="401" ht="15.75" customHeight="1">
      <c r="D401" s="47"/>
      <c r="F401" s="47"/>
    </row>
    <row r="402" ht="15.75" customHeight="1">
      <c r="D402" s="47"/>
      <c r="F402" s="47"/>
    </row>
    <row r="403" ht="15.75" customHeight="1">
      <c r="D403" s="47"/>
      <c r="F403" s="47"/>
    </row>
    <row r="404" ht="15.75" customHeight="1">
      <c r="D404" s="47"/>
      <c r="F404" s="47"/>
    </row>
    <row r="405" ht="15.75" customHeight="1">
      <c r="D405" s="47"/>
      <c r="F405" s="47"/>
    </row>
    <row r="406" ht="15.75" customHeight="1">
      <c r="D406" s="47"/>
      <c r="F406" s="47"/>
    </row>
    <row r="407" ht="15.75" customHeight="1">
      <c r="D407" s="47"/>
      <c r="F407" s="47"/>
    </row>
    <row r="408" ht="15.75" customHeight="1">
      <c r="D408" s="47"/>
      <c r="F408" s="47"/>
    </row>
    <row r="409" ht="15.75" customHeight="1">
      <c r="D409" s="47"/>
      <c r="F409" s="47"/>
    </row>
    <row r="410" ht="15.75" customHeight="1">
      <c r="D410" s="47"/>
      <c r="F410" s="47"/>
    </row>
    <row r="411" ht="15.75" customHeight="1">
      <c r="D411" s="47"/>
      <c r="F411" s="47"/>
    </row>
    <row r="412" ht="15.75" customHeight="1">
      <c r="D412" s="47"/>
      <c r="F412" s="47"/>
    </row>
    <row r="413" ht="15.75" customHeight="1">
      <c r="D413" s="47"/>
      <c r="F413" s="47"/>
    </row>
    <row r="414" ht="15.75" customHeight="1">
      <c r="D414" s="47"/>
      <c r="F414" s="47"/>
    </row>
    <row r="415" ht="15.75" customHeight="1">
      <c r="D415" s="47"/>
      <c r="F415" s="47"/>
    </row>
    <row r="416" ht="15.75" customHeight="1">
      <c r="D416" s="47"/>
      <c r="F416" s="47"/>
    </row>
    <row r="417" ht="15.75" customHeight="1">
      <c r="D417" s="47"/>
      <c r="F417" s="47"/>
    </row>
    <row r="418" ht="15.75" customHeight="1">
      <c r="D418" s="47"/>
      <c r="F418" s="47"/>
    </row>
    <row r="419" ht="15.75" customHeight="1">
      <c r="D419" s="47"/>
      <c r="F419" s="47"/>
    </row>
    <row r="420" ht="15.75" customHeight="1">
      <c r="D420" s="47"/>
      <c r="F420" s="47"/>
    </row>
    <row r="421" ht="15.75" customHeight="1">
      <c r="D421" s="47"/>
      <c r="F421" s="47"/>
    </row>
    <row r="422" ht="15.75" customHeight="1">
      <c r="D422" s="47"/>
      <c r="F422" s="47"/>
    </row>
    <row r="423" ht="15.75" customHeight="1">
      <c r="D423" s="47"/>
      <c r="F423" s="47"/>
    </row>
    <row r="424" ht="15.75" customHeight="1">
      <c r="D424" s="47"/>
      <c r="F424" s="47"/>
    </row>
    <row r="425" ht="15.75" customHeight="1">
      <c r="D425" s="47"/>
      <c r="F425" s="47"/>
    </row>
    <row r="426" ht="15.75" customHeight="1">
      <c r="D426" s="47"/>
      <c r="F426" s="47"/>
    </row>
    <row r="427" ht="15.75" customHeight="1">
      <c r="D427" s="47"/>
      <c r="F427" s="47"/>
    </row>
    <row r="428" ht="15.75" customHeight="1">
      <c r="D428" s="47"/>
      <c r="F428" s="47"/>
    </row>
    <row r="429" ht="15.75" customHeight="1">
      <c r="D429" s="47"/>
      <c r="F429" s="47"/>
    </row>
    <row r="430" ht="15.75" customHeight="1">
      <c r="D430" s="47"/>
      <c r="F430" s="47"/>
    </row>
    <row r="431" ht="15.75" customHeight="1">
      <c r="D431" s="47"/>
      <c r="F431" s="47"/>
    </row>
    <row r="432" ht="15.75" customHeight="1">
      <c r="D432" s="47"/>
      <c r="F432" s="47"/>
    </row>
    <row r="433" ht="15.75" customHeight="1">
      <c r="D433" s="47"/>
      <c r="F433" s="47"/>
    </row>
    <row r="434" ht="15.75" customHeight="1">
      <c r="D434" s="47"/>
      <c r="F434" s="47"/>
    </row>
    <row r="435" ht="15.75" customHeight="1">
      <c r="D435" s="47"/>
      <c r="F435" s="47"/>
    </row>
    <row r="436" ht="15.75" customHeight="1">
      <c r="D436" s="47"/>
      <c r="F436" s="47"/>
    </row>
    <row r="437" ht="15.75" customHeight="1">
      <c r="D437" s="47"/>
      <c r="F437" s="47"/>
    </row>
    <row r="438" ht="15.75" customHeight="1">
      <c r="D438" s="47"/>
      <c r="F438" s="47"/>
    </row>
    <row r="439" ht="15.75" customHeight="1">
      <c r="D439" s="47"/>
      <c r="F439" s="47"/>
    </row>
    <row r="440" ht="15.75" customHeight="1">
      <c r="D440" s="47"/>
      <c r="F440" s="47"/>
    </row>
    <row r="441" ht="15.75" customHeight="1">
      <c r="D441" s="47"/>
      <c r="F441" s="47"/>
    </row>
    <row r="442" ht="15.75" customHeight="1">
      <c r="D442" s="47"/>
      <c r="F442" s="47"/>
    </row>
    <row r="443" ht="15.75" customHeight="1">
      <c r="D443" s="47"/>
      <c r="F443" s="47"/>
    </row>
    <row r="444" ht="15.75" customHeight="1">
      <c r="D444" s="47"/>
      <c r="F444" s="47"/>
    </row>
    <row r="445" ht="15.75" customHeight="1">
      <c r="D445" s="47"/>
      <c r="F445" s="47"/>
    </row>
    <row r="446" ht="15.75" customHeight="1">
      <c r="D446" s="47"/>
      <c r="F446" s="47"/>
    </row>
    <row r="447" ht="15.75" customHeight="1">
      <c r="D447" s="47"/>
      <c r="F447" s="47"/>
    </row>
    <row r="448" ht="15.75" customHeight="1">
      <c r="D448" s="47"/>
      <c r="F448" s="47"/>
    </row>
    <row r="449" ht="15.75" customHeight="1">
      <c r="D449" s="47"/>
      <c r="F449" s="47"/>
    </row>
    <row r="450" ht="15.75" customHeight="1">
      <c r="D450" s="47"/>
      <c r="F450" s="47"/>
    </row>
    <row r="451" ht="15.75" customHeight="1">
      <c r="D451" s="47"/>
      <c r="F451" s="47"/>
    </row>
    <row r="452" ht="15.75" customHeight="1">
      <c r="D452" s="47"/>
      <c r="F452" s="47"/>
    </row>
    <row r="453" ht="15.75" customHeight="1">
      <c r="D453" s="47"/>
      <c r="F453" s="47"/>
    </row>
    <row r="454" ht="15.75" customHeight="1">
      <c r="D454" s="47"/>
      <c r="F454" s="47"/>
    </row>
    <row r="455" ht="15.75" customHeight="1">
      <c r="D455" s="47"/>
      <c r="F455" s="47"/>
    </row>
    <row r="456" ht="15.75" customHeight="1">
      <c r="D456" s="47"/>
      <c r="F456" s="47"/>
    </row>
    <row r="457" ht="15.75" customHeight="1">
      <c r="D457" s="47"/>
      <c r="F457" s="47"/>
    </row>
    <row r="458" ht="15.75" customHeight="1">
      <c r="D458" s="47"/>
      <c r="F458" s="47"/>
    </row>
    <row r="459" ht="15.75" customHeight="1">
      <c r="D459" s="47"/>
      <c r="F459" s="47"/>
    </row>
    <row r="460" ht="15.75" customHeight="1">
      <c r="D460" s="47"/>
      <c r="F460" s="47"/>
    </row>
    <row r="461" ht="15.75" customHeight="1">
      <c r="D461" s="47"/>
      <c r="F461" s="47"/>
    </row>
    <row r="462" ht="15.75" customHeight="1">
      <c r="D462" s="47"/>
      <c r="F462" s="47"/>
    </row>
    <row r="463" ht="15.75" customHeight="1">
      <c r="D463" s="47"/>
      <c r="F463" s="47"/>
    </row>
    <row r="464" ht="15.75" customHeight="1">
      <c r="D464" s="47"/>
      <c r="F464" s="47"/>
    </row>
    <row r="465" ht="15.75" customHeight="1">
      <c r="D465" s="47"/>
      <c r="F465" s="47"/>
    </row>
    <row r="466" ht="15.75" customHeight="1">
      <c r="D466" s="47"/>
      <c r="F466" s="47"/>
    </row>
    <row r="467" ht="15.75" customHeight="1">
      <c r="D467" s="47"/>
      <c r="F467" s="47"/>
    </row>
    <row r="468" ht="15.75" customHeight="1">
      <c r="D468" s="47"/>
      <c r="F468" s="47"/>
    </row>
    <row r="469" ht="15.75" customHeight="1">
      <c r="D469" s="47"/>
      <c r="F469" s="47"/>
    </row>
    <row r="470" ht="15.75" customHeight="1">
      <c r="D470" s="47"/>
      <c r="F470" s="47"/>
    </row>
    <row r="471" ht="15.75" customHeight="1">
      <c r="D471" s="47"/>
      <c r="F471" s="47"/>
    </row>
    <row r="472" ht="15.75" customHeight="1">
      <c r="D472" s="47"/>
      <c r="F472" s="47"/>
    </row>
    <row r="473" ht="15.75" customHeight="1">
      <c r="D473" s="47"/>
      <c r="F473" s="47"/>
    </row>
    <row r="474" ht="15.75" customHeight="1">
      <c r="D474" s="47"/>
      <c r="F474" s="47"/>
    </row>
    <row r="475" ht="15.75" customHeight="1">
      <c r="D475" s="47"/>
      <c r="F475" s="47"/>
    </row>
    <row r="476" ht="15.75" customHeight="1">
      <c r="D476" s="47"/>
      <c r="F476" s="47"/>
    </row>
    <row r="477" ht="15.75" customHeight="1">
      <c r="D477" s="47"/>
      <c r="F477" s="47"/>
    </row>
    <row r="478" ht="15.75" customHeight="1">
      <c r="D478" s="47"/>
      <c r="F478" s="47"/>
    </row>
    <row r="479" ht="15.75" customHeight="1">
      <c r="D479" s="47"/>
      <c r="F479" s="47"/>
    </row>
    <row r="480" ht="15.75" customHeight="1">
      <c r="D480" s="47"/>
      <c r="F480" s="47"/>
    </row>
    <row r="481" ht="15.75" customHeight="1">
      <c r="D481" s="47"/>
      <c r="F481" s="47"/>
    </row>
    <row r="482" ht="15.75" customHeight="1">
      <c r="D482" s="47"/>
      <c r="F482" s="47"/>
    </row>
    <row r="483" ht="15.75" customHeight="1">
      <c r="D483" s="47"/>
      <c r="F483" s="47"/>
    </row>
    <row r="484" ht="15.75" customHeight="1">
      <c r="D484" s="47"/>
      <c r="F484" s="47"/>
    </row>
    <row r="485" ht="15.75" customHeight="1">
      <c r="D485" s="47"/>
      <c r="F485" s="47"/>
    </row>
    <row r="486" ht="15.75" customHeight="1">
      <c r="D486" s="47"/>
      <c r="F486" s="47"/>
    </row>
    <row r="487" ht="15.75" customHeight="1">
      <c r="D487" s="47"/>
      <c r="F487" s="47"/>
    </row>
    <row r="488" ht="15.75" customHeight="1">
      <c r="D488" s="47"/>
      <c r="F488" s="47"/>
    </row>
    <row r="489" ht="15.75" customHeight="1">
      <c r="D489" s="47"/>
      <c r="F489" s="47"/>
    </row>
    <row r="490" ht="15.75" customHeight="1">
      <c r="D490" s="47"/>
      <c r="F490" s="47"/>
    </row>
    <row r="491" ht="15.75" customHeight="1">
      <c r="D491" s="47"/>
      <c r="F491" s="47"/>
    </row>
    <row r="492" ht="15.75" customHeight="1">
      <c r="D492" s="47"/>
      <c r="F492" s="47"/>
    </row>
    <row r="493" ht="15.75" customHeight="1">
      <c r="D493" s="47"/>
      <c r="F493" s="47"/>
    </row>
    <row r="494" ht="15.75" customHeight="1">
      <c r="D494" s="47"/>
      <c r="F494" s="47"/>
    </row>
    <row r="495" ht="15.75" customHeight="1">
      <c r="D495" s="47"/>
      <c r="F495" s="47"/>
    </row>
    <row r="496" ht="15.75" customHeight="1">
      <c r="D496" s="47"/>
      <c r="F496" s="47"/>
    </row>
    <row r="497" ht="15.75" customHeight="1">
      <c r="D497" s="47"/>
      <c r="F497" s="47"/>
    </row>
    <row r="498" ht="15.75" customHeight="1">
      <c r="D498" s="47"/>
      <c r="F498" s="47"/>
    </row>
    <row r="499" ht="15.75" customHeight="1">
      <c r="D499" s="47"/>
      <c r="F499" s="47"/>
    </row>
    <row r="500" ht="15.75" customHeight="1">
      <c r="D500" s="47"/>
      <c r="F500" s="47"/>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A1:K3"/>
  <conditionalFormatting sqref="F2:F999">
    <cfRule type="expression" dxfId="1" priority="1">
      <formula>$F2="active"</formula>
    </cfRule>
  </conditionalFormatting>
  <conditionalFormatting sqref="F2:F999">
    <cfRule type="expression" dxfId="1" priority="2">
      <formula>$F2="completed"</formula>
    </cfRule>
  </conditionalFormatting>
  <conditionalFormatting sqref="F2:F999">
    <cfRule type="expression" dxfId="1" priority="3">
      <formula>$F2="paid"</formula>
    </cfRule>
  </conditionalFormatting>
  <conditionalFormatting sqref="F2:F999">
    <cfRule type="expression" dxfId="1" priority="4">
      <formula>$F2="present"</formula>
    </cfRule>
  </conditionalFormatting>
  <conditionalFormatting sqref="F2:F999">
    <cfRule type="expression" dxfId="2" priority="5">
      <formula>$F2="inactive"</formula>
    </cfRule>
  </conditionalFormatting>
  <conditionalFormatting sqref="F2:F999">
    <cfRule type="expression" dxfId="3" priority="6">
      <formula>$F2="absent"</formula>
    </cfRule>
  </conditionalFormatting>
  <conditionalFormatting sqref="F2:F999">
    <cfRule type="expression" dxfId="4" priority="7">
      <formula>$F2="late"</formula>
    </cfRule>
  </conditionalFormatting>
  <conditionalFormatting sqref="F2:F999">
    <cfRule type="expression" dxfId="4" priority="8">
      <formula>$F2="pending"</formula>
    </cfRule>
  </conditionalFormatting>
  <conditionalFormatting sqref="F2:F999">
    <cfRule type="expression" dxfId="3" priority="9">
      <formula>$F2="cancelled"</formula>
    </cfRule>
  </conditionalFormatting>
  <dataValidations>
    <dataValidation type="list" allowBlank="1" sqref="F2:F3 F5:F500">
      <formula1>DanhMuc!$D$2:$D$100</formula1>
    </dataValidation>
    <dataValidation type="list" allowBlank="1" sqref="D2:D3 D5:D500">
      <formula1>DanhMuc!$L$2:$L$100</formula1>
    </dataValidation>
  </dataValidations>
  <printOptions/>
  <pageMargins bottom="0.75" footer="0.0" header="0.0" left="0.7" right="0.7" top="0.75"/>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2C55E"/>
    <pageSetUpPr/>
  </sheetPr>
  <sheetViews>
    <sheetView showGridLines="0" workbookViewId="0">
      <pane ySplit="1" topLeftCell="A2" activePane="bottomLeft" state="frozen"/>
      <selection pane="bottomLeft"/>
    </sheetView>
  </sheetViews>
  <sheetFormatPr customHeight="1" defaultColWidth="12.63" defaultRowHeight="15.0"/>
  <cols>
    <col min="1" max="1" width="12" customWidth="1"/>
    <col min="2" max="2" width="10" customWidth="1"/>
    <col min="3" max="3" width="10" customWidth="1"/>
    <col min="4" max="4" width="11" customWidth="1"/>
    <col min="5" max="5" width="42" customWidth="1"/>
    <col min="6" max="6" width="21" customWidth="1"/>
  </cols>
  <sheetData>
    <row r="1" ht="31.5" customHeight="1">
      <c r="A1" s="3" t="s">
        <v>510</v>
      </c>
      <c r="B1" s="3" t="s">
        <v>498</v>
      </c>
      <c r="C1" s="3" t="s">
        <v>127</v>
      </c>
      <c r="D1" s="3" t="s">
        <v>140</v>
      </c>
      <c r="E1" s="3" t="s">
        <v>145</v>
      </c>
      <c r="F1" s="3" t="s">
        <v>113</v>
      </c>
    </row>
    <row r="2" ht="22.5" customHeight="1">
      <c r="A2" s="29" t="inlineStr">
        <is>
          <t>DD-BH-20260623-6A-7H30-HS002</t>
        </is>
      </c>
      <c r="B2" s="30" t="inlineStr">
        <is>
          <t>BH-20260623-6A-7H30</t>
        </is>
      </c>
      <c r="C2" s="28" t="inlineStr">
        <is>
          <t>HS002</t>
        </is>
      </c>
      <c r="D2" s="29" t="inlineStr">
        <is>
          <t>present</t>
        </is>
      </c>
      <c r="E2" s="19"/>
      <c r="F2" s="33" t="s">
        <v>513</v>
      </c>
    </row>
    <row r="3" ht="22.5" customHeight="1">
      <c r="A3" s="35" t="inlineStr">
        <is>
          <t>DD-BH-20260623-6A-7H30-HS003</t>
        </is>
      </c>
      <c r="B3" s="36" t="inlineStr">
        <is>
          <t>BH-20260623-6A-7H30</t>
        </is>
      </c>
      <c r="C3" s="28" t="inlineStr">
        <is>
          <t>HS003</t>
        </is>
      </c>
      <c r="D3" s="35" t="inlineStr">
        <is>
          <t>present</t>
        </is>
      </c>
      <c r="E3" s="15"/>
      <c r="F3" s="38" t="s">
        <v>513</v>
      </c>
    </row>
    <row r="4" ht="22.5" customHeight="1">
      <c r="A4" s="29" t="inlineStr">
        <is>
          <t>DD-BH-20260623-6A-7H30-HS004</t>
        </is>
      </c>
      <c r="B4" s="30" t="inlineStr">
        <is>
          <t>BH-20260623-6A-7H30</t>
        </is>
      </c>
      <c r="C4" s="28" t="inlineStr">
        <is>
          <t>HS004</t>
        </is>
      </c>
      <c r="D4" s="29" t="inlineStr">
        <is>
          <t>present</t>
        </is>
      </c>
      <c r="E4" s="19"/>
      <c r="F4" s="33" t="s">
        <v>513</v>
      </c>
    </row>
    <row r="5" ht="22.5" customHeight="1">
      <c r="A5" s="35" t="inlineStr">
        <is>
          <t>DD-BH-20260623-6A-7H30-HS005</t>
        </is>
      </c>
      <c r="B5" s="36" t="inlineStr">
        <is>
          <t>BH-20260623-6A-7H30</t>
        </is>
      </c>
      <c r="C5" s="28" t="inlineStr">
        <is>
          <t>HS005</t>
        </is>
      </c>
      <c r="D5" s="35" t="inlineStr">
        <is>
          <t>present</t>
        </is>
      </c>
      <c r="E5" s="15"/>
      <c r="F5" s="38" t="s">
        <v>513</v>
      </c>
    </row>
    <row r="6" ht="22.5" customHeight="1">
      <c r="A6" s="29" t="inlineStr">
        <is>
          <t>DD-BH-20260623-6A-7H30-HS006</t>
        </is>
      </c>
      <c r="B6" s="30" t="inlineStr">
        <is>
          <t>BH-20260623-6A-7H30</t>
        </is>
      </c>
      <c r="C6" s="28" t="inlineStr">
        <is>
          <t>HS006</t>
        </is>
      </c>
      <c r="D6" s="29" t="inlineStr">
        <is>
          <t>absent</t>
        </is>
      </c>
      <c r="E6" s="19"/>
      <c r="F6" s="33" t="s">
        <v>513</v>
      </c>
    </row>
    <row r="7" ht="22.5" customHeight="1">
      <c r="A7" s="35" t="inlineStr">
        <is>
          <t>DD-BH-20260627-6A-7H30-HS002</t>
        </is>
      </c>
      <c r="B7" s="36" t="inlineStr">
        <is>
          <t>BH-20260627-6A-7H30</t>
        </is>
      </c>
      <c r="C7" s="28" t="inlineStr">
        <is>
          <t>HS002</t>
        </is>
      </c>
      <c r="D7" s="35" t="inlineStr">
        <is>
          <t>present</t>
        </is>
      </c>
      <c r="E7" s="15"/>
      <c r="F7" s="38" t="s">
        <v>506</v>
      </c>
    </row>
    <row r="8" ht="22.5" customHeight="1">
      <c r="A8" s="29" t="inlineStr">
        <is>
          <t>DD-BH-20260627-6A-7H30-HS003</t>
        </is>
      </c>
      <c r="B8" s="30" t="inlineStr">
        <is>
          <t>BH-20260627-6A-7H30</t>
        </is>
      </c>
      <c r="C8" s="28" t="inlineStr">
        <is>
          <t>HS003</t>
        </is>
      </c>
      <c r="D8" s="29" t="inlineStr">
        <is>
          <t>present</t>
        </is>
      </c>
      <c r="E8" s="19"/>
      <c r="F8" s="33" t="s">
        <v>506</v>
      </c>
    </row>
    <row r="9" ht="22.5" customHeight="1">
      <c r="A9" s="35" t="inlineStr">
        <is>
          <t>DD-BH-20260627-6A-7H30-HS004</t>
        </is>
      </c>
      <c r="B9" s="36" t="inlineStr">
        <is>
          <t>BH-20260627-6A-7H30</t>
        </is>
      </c>
      <c r="C9" s="28" t="inlineStr">
        <is>
          <t>HS004</t>
        </is>
      </c>
      <c r="D9" s="35" t="inlineStr">
        <is>
          <t>present</t>
        </is>
      </c>
      <c r="E9" s="15"/>
      <c r="F9" s="38" t="s">
        <v>506</v>
      </c>
    </row>
    <row r="10" ht="22.5" customHeight="1">
      <c r="A10" s="29" t="inlineStr">
        <is>
          <t>DD-BH-20260627-6A-7H30-HS005</t>
        </is>
      </c>
      <c r="B10" s="30" t="inlineStr">
        <is>
          <t>BH-20260627-6A-7H30</t>
        </is>
      </c>
      <c r="C10" s="28" t="inlineStr">
        <is>
          <t>HS005</t>
        </is>
      </c>
      <c r="D10" s="29" t="inlineStr">
        <is>
          <t>present</t>
        </is>
      </c>
      <c r="E10" s="19"/>
      <c r="F10" s="33" t="s">
        <v>506</v>
      </c>
    </row>
    <row r="11" ht="22.5" customHeight="1">
      <c r="A11" s="35" t="inlineStr">
        <is>
          <t>DD-BH-20260627-6A-7H30-HS006</t>
        </is>
      </c>
      <c r="B11" s="36" t="inlineStr">
        <is>
          <t>BH-20260627-6A-7H30</t>
        </is>
      </c>
      <c r="C11" s="28" t="inlineStr">
        <is>
          <t>HS006</t>
        </is>
      </c>
      <c r="D11" s="35" t="inlineStr">
        <is>
          <t>absent</t>
        </is>
      </c>
      <c r="E11" s="15"/>
      <c r="F11" s="38" t="s">
        <v>506</v>
      </c>
    </row>
    <row r="12" ht="22.5" customHeight="1">
      <c r="A12" s="29" t="inlineStr">
        <is>
          <t>DD-BH-20260627-10A-15H30-HS026</t>
        </is>
      </c>
      <c r="B12" s="30" t="inlineStr">
        <is>
          <t>BH-20260627-10A-15H30</t>
        </is>
      </c>
      <c r="C12" s="28" t="inlineStr">
        <is>
          <t>HS026</t>
        </is>
      </c>
      <c r="D12" s="29" t="inlineStr">
        <is>
          <t>present</t>
        </is>
      </c>
      <c r="E12" s="19"/>
      <c r="F12" s="33" t="s">
        <v>524</v>
      </c>
    </row>
    <row r="13" ht="22.5" customHeight="1">
      <c r="A13" s="35" t="inlineStr">
        <is>
          <t>DD-BH-20260627-10A-15H30-HS027</t>
        </is>
      </c>
      <c r="B13" s="36" t="inlineStr">
        <is>
          <t>BH-20260627-10A-15H30</t>
        </is>
      </c>
      <c r="C13" s="28" t="inlineStr">
        <is>
          <t>HS027</t>
        </is>
      </c>
      <c r="D13" s="35" t="inlineStr">
        <is>
          <t>present</t>
        </is>
      </c>
      <c r="E13" s="15"/>
      <c r="F13" s="38" t="s">
        <v>524</v>
      </c>
    </row>
    <row r="14" ht="22.5" customHeight="1">
      <c r="A14" s="29" t="inlineStr">
        <is>
          <t>DD-BH-20260627-10A-15H30-HS028</t>
        </is>
      </c>
      <c r="B14" s="30" t="inlineStr">
        <is>
          <t>BH-20260627-10A-15H30</t>
        </is>
      </c>
      <c r="C14" s="28" t="inlineStr">
        <is>
          <t>HS028</t>
        </is>
      </c>
      <c r="D14" s="29" t="inlineStr">
        <is>
          <t>present</t>
        </is>
      </c>
      <c r="E14" s="19"/>
      <c r="F14" s="33" t="s">
        <v>524</v>
      </c>
    </row>
    <row r="15" ht="22.5" customHeight="1">
      <c r="A15" s="35" t="inlineStr">
        <is>
          <t>DD-BH-20260627-10A-15H30-HS029</t>
        </is>
      </c>
      <c r="B15" s="36" t="inlineStr">
        <is>
          <t>BH-20260627-10A-15H30</t>
        </is>
      </c>
      <c r="C15" s="28" t="inlineStr">
        <is>
          <t>HS029</t>
        </is>
      </c>
      <c r="D15" s="35" t="inlineStr">
        <is>
          <t>absent</t>
        </is>
      </c>
      <c r="E15" s="15"/>
      <c r="F15" s="38" t="s">
        <v>524</v>
      </c>
    </row>
    <row r="16" ht="22.5" customHeight="1">
      <c r="A16" s="29" t="inlineStr">
        <is>
          <t>DD-BH-20260627-10A-15H30-HS030</t>
        </is>
      </c>
      <c r="B16" s="30" t="inlineStr">
        <is>
          <t>BH-20260627-10A-15H30</t>
        </is>
      </c>
      <c r="C16" s="28" t="inlineStr">
        <is>
          <t>HS030</t>
        </is>
      </c>
      <c r="D16" s="29" t="inlineStr">
        <is>
          <t>present</t>
        </is>
      </c>
      <c r="E16" s="19"/>
      <c r="F16" s="33" t="s">
        <v>524</v>
      </c>
    </row>
    <row r="17" ht="22.5" customHeight="1">
      <c r="A17" s="35" t="inlineStr">
        <is>
          <t>DD-BH-20260627-10A-15H30-HS031</t>
        </is>
      </c>
      <c r="B17" s="36" t="inlineStr">
        <is>
          <t>BH-20260627-10A-15H30</t>
        </is>
      </c>
      <c r="C17" s="28" t="inlineStr">
        <is>
          <t>HS031</t>
        </is>
      </c>
      <c r="D17" s="35" t="inlineStr">
        <is>
          <t>present</t>
        </is>
      </c>
      <c r="E17" s="15"/>
      <c r="F17" s="38" t="s">
        <v>524</v>
      </c>
    </row>
    <row r="18" ht="22.5" customHeight="1">
      <c r="A18" s="29" t="inlineStr">
        <is>
          <t>DD-BH-20260627-10A-15H30-HS032</t>
        </is>
      </c>
      <c r="B18" s="30" t="inlineStr">
        <is>
          <t>BH-20260627-10A-15H30</t>
        </is>
      </c>
      <c r="C18" s="28" t="inlineStr">
        <is>
          <t>HS032</t>
        </is>
      </c>
      <c r="D18" s="29" t="inlineStr">
        <is>
          <t>present</t>
        </is>
      </c>
      <c r="E18" s="19"/>
      <c r="F18" s="33" t="s">
        <v>524</v>
      </c>
    </row>
    <row r="19" ht="15.75" customHeight="1">
      <c r="A19" s="25"/>
      <c r="B19" s="25"/>
      <c r="C19" s="25"/>
      <c r="D19" s="25"/>
      <c r="E19" s="25"/>
      <c r="F19" s="43"/>
    </row>
    <row r="20" ht="15.75" customHeight="1">
      <c r="A20" s="23"/>
      <c r="B20" s="23"/>
      <c r="C20" s="23"/>
      <c r="D20" s="23"/>
      <c r="E20" s="23"/>
      <c r="F20" s="45"/>
    </row>
    <row r="21" ht="15.75" customHeight="1">
      <c r="A21" s="25"/>
      <c r="B21" s="25"/>
      <c r="C21" s="25"/>
      <c r="D21" s="25"/>
      <c r="E21" s="25"/>
      <c r="F21" s="43"/>
    </row>
    <row r="22" ht="15.75" customHeight="1">
      <c r="A22" s="23"/>
      <c r="B22" s="23"/>
      <c r="C22" s="23"/>
      <c r="D22" s="23"/>
      <c r="E22" s="23"/>
      <c r="F22" s="45"/>
    </row>
    <row r="23" ht="15.75" customHeight="1">
      <c r="A23" s="25"/>
      <c r="B23" s="25"/>
      <c r="C23" s="25"/>
      <c r="D23" s="25"/>
      <c r="E23" s="25"/>
      <c r="F23" s="43"/>
    </row>
    <row r="24" ht="15.75" customHeight="1">
      <c r="A24" s="23"/>
      <c r="B24" s="23"/>
      <c r="C24" s="23"/>
      <c r="D24" s="23"/>
      <c r="E24" s="23"/>
      <c r="F24" s="45"/>
    </row>
    <row r="25" ht="15.75" customHeight="1">
      <c r="A25" s="25"/>
      <c r="B25" s="25"/>
      <c r="C25" s="25"/>
      <c r="D25" s="25"/>
      <c r="E25" s="25"/>
      <c r="F25" s="43"/>
    </row>
    <row r="26" ht="15.75" customHeight="1">
      <c r="A26" s="23"/>
      <c r="B26" s="23"/>
      <c r="C26" s="23"/>
      <c r="D26" s="23"/>
      <c r="E26" s="23"/>
      <c r="F26" s="45"/>
    </row>
    <row r="27" ht="15.75" customHeight="1">
      <c r="A27" s="25"/>
      <c r="B27" s="25"/>
      <c r="C27" s="25"/>
      <c r="D27" s="25"/>
      <c r="E27" s="25"/>
      <c r="F27" s="43"/>
    </row>
    <row r="28" ht="15.75" customHeight="1">
      <c r="A28" s="23"/>
      <c r="B28" s="23"/>
      <c r="C28" s="23"/>
      <c r="D28" s="23"/>
      <c r="E28" s="23"/>
      <c r="F28" s="45"/>
    </row>
    <row r="29" ht="15.75" customHeight="1">
      <c r="A29" s="25"/>
      <c r="B29" s="25"/>
      <c r="C29" s="25"/>
      <c r="D29" s="25"/>
      <c r="E29" s="25"/>
      <c r="F29" s="43"/>
    </row>
    <row r="30" ht="15.75" customHeight="1">
      <c r="A30" s="23"/>
      <c r="B30" s="23"/>
      <c r="C30" s="23"/>
      <c r="D30" s="23"/>
      <c r="E30" s="23"/>
      <c r="F30" s="45"/>
    </row>
    <row r="31" ht="15.75" customHeight="1">
      <c r="A31" s="25"/>
      <c r="B31" s="25"/>
      <c r="C31" s="25"/>
      <c r="D31" s="25"/>
      <c r="E31" s="25"/>
      <c r="F31" s="43"/>
    </row>
    <row r="32" ht="15.75" customHeight="1">
      <c r="A32" s="23"/>
      <c r="B32" s="23"/>
      <c r="C32" s="23"/>
      <c r="D32" s="23"/>
      <c r="E32" s="23"/>
      <c r="F32" s="45"/>
    </row>
    <row r="33" ht="15.75" customHeight="1">
      <c r="A33" s="25"/>
      <c r="B33" s="25"/>
      <c r="C33" s="25"/>
      <c r="D33" s="25"/>
      <c r="E33" s="25"/>
      <c r="F33" s="43"/>
    </row>
    <row r="34" ht="15.75" customHeight="1">
      <c r="A34" s="23"/>
      <c r="B34" s="23"/>
      <c r="C34" s="23"/>
      <c r="D34" s="23"/>
      <c r="E34" s="23"/>
      <c r="F34" s="45"/>
    </row>
    <row r="35" ht="15.75" customHeight="1">
      <c r="A35" s="25"/>
      <c r="B35" s="25"/>
      <c r="C35" s="25"/>
      <c r="D35" s="25"/>
      <c r="E35" s="25"/>
      <c r="F35" s="43"/>
    </row>
    <row r="36" ht="15.75" customHeight="1">
      <c r="A36" s="23"/>
      <c r="B36" s="23"/>
      <c r="C36" s="23"/>
      <c r="D36" s="23"/>
      <c r="E36" s="23"/>
      <c r="F36" s="45"/>
    </row>
    <row r="37" ht="15.75" customHeight="1">
      <c r="A37" s="25"/>
      <c r="B37" s="25"/>
      <c r="C37" s="25"/>
      <c r="D37" s="25"/>
      <c r="E37" s="25"/>
      <c r="F37" s="43"/>
    </row>
    <row r="38" ht="15.75" customHeight="1">
      <c r="A38" s="23"/>
      <c r="B38" s="23"/>
      <c r="C38" s="23"/>
      <c r="D38" s="23"/>
      <c r="E38" s="23"/>
      <c r="F38" s="45"/>
    </row>
    <row r="39" ht="15.75" customHeight="1">
      <c r="A39" s="25"/>
      <c r="B39" s="25"/>
      <c r="C39" s="25"/>
      <c r="D39" s="25"/>
      <c r="E39" s="25"/>
      <c r="F39" s="43"/>
    </row>
    <row r="40" ht="15.75" customHeight="1">
      <c r="A40" s="23"/>
      <c r="B40" s="23"/>
      <c r="C40" s="23"/>
      <c r="D40" s="23"/>
      <c r="E40" s="23"/>
      <c r="F40" s="45"/>
    </row>
    <row r="41" ht="15.75" customHeight="1">
      <c r="A41" s="25"/>
      <c r="B41" s="25"/>
      <c r="C41" s="25"/>
      <c r="D41" s="25"/>
      <c r="E41" s="25"/>
      <c r="F41" s="43"/>
    </row>
    <row r="42" ht="15.75" customHeight="1">
      <c r="A42" s="23"/>
      <c r="B42" s="23"/>
      <c r="C42" s="23"/>
      <c r="D42" s="23"/>
      <c r="E42" s="23"/>
      <c r="F42" s="45"/>
    </row>
    <row r="43" ht="15.75" customHeight="1">
      <c r="A43" s="25"/>
      <c r="B43" s="25"/>
      <c r="C43" s="25"/>
      <c r="D43" s="25"/>
      <c r="E43" s="25"/>
      <c r="F43" s="43"/>
    </row>
    <row r="44" ht="15.75" customHeight="1">
      <c r="A44" s="23"/>
      <c r="B44" s="23"/>
      <c r="C44" s="23"/>
      <c r="D44" s="23"/>
      <c r="E44" s="23"/>
      <c r="F44" s="45"/>
    </row>
    <row r="45" ht="15.75" customHeight="1">
      <c r="A45" s="25"/>
      <c r="B45" s="25"/>
      <c r="C45" s="25"/>
      <c r="D45" s="25"/>
      <c r="E45" s="25"/>
      <c r="F45" s="43"/>
    </row>
    <row r="46" ht="15.75" customHeight="1">
      <c r="A46" s="23"/>
      <c r="B46" s="23"/>
      <c r="C46" s="23"/>
      <c r="D46" s="23"/>
      <c r="E46" s="23"/>
      <c r="F46" s="45"/>
    </row>
    <row r="47" ht="15.75" customHeight="1">
      <c r="A47" s="25"/>
      <c r="B47" s="25"/>
      <c r="C47" s="25"/>
      <c r="D47" s="25"/>
      <c r="E47" s="25"/>
      <c r="F47" s="43"/>
    </row>
    <row r="48" ht="15.75" customHeight="1">
      <c r="A48" s="23"/>
      <c r="B48" s="23"/>
      <c r="C48" s="23"/>
      <c r="D48" s="23"/>
      <c r="E48" s="23"/>
      <c r="F48" s="45"/>
    </row>
    <row r="49" ht="15.75" customHeight="1">
      <c r="A49" s="25"/>
      <c r="B49" s="25"/>
      <c r="C49" s="25"/>
      <c r="D49" s="25"/>
      <c r="E49" s="25"/>
      <c r="F49" s="43"/>
    </row>
    <row r="50" ht="15.75" customHeight="1">
      <c r="A50" s="23"/>
      <c r="B50" s="23"/>
      <c r="C50" s="23"/>
      <c r="D50" s="23"/>
      <c r="E50" s="23"/>
      <c r="F50" s="45"/>
    </row>
    <row r="51" ht="15.75" customHeight="1">
      <c r="A51" s="25"/>
      <c r="B51" s="25"/>
      <c r="C51" s="25"/>
      <c r="D51" s="25"/>
      <c r="E51" s="25"/>
      <c r="F51" s="43"/>
    </row>
    <row r="52" ht="15.75" customHeight="1">
      <c r="A52" s="23"/>
      <c r="B52" s="23"/>
      <c r="C52" s="23"/>
      <c r="D52" s="23"/>
      <c r="E52" s="23"/>
      <c r="F52" s="45"/>
    </row>
    <row r="53" ht="15.75" customHeight="1">
      <c r="A53" s="25"/>
      <c r="B53" s="25"/>
      <c r="C53" s="25"/>
      <c r="D53" s="25"/>
      <c r="E53" s="25"/>
      <c r="F53" s="43"/>
    </row>
    <row r="54" ht="15.75" customHeight="1">
      <c r="A54" s="23"/>
      <c r="B54" s="23"/>
      <c r="C54" s="23"/>
      <c r="D54" s="23"/>
      <c r="E54" s="23"/>
      <c r="F54" s="45"/>
    </row>
    <row r="55" ht="15.75" customHeight="1">
      <c r="A55" s="25"/>
      <c r="B55" s="25"/>
      <c r="C55" s="25"/>
      <c r="D55" s="25"/>
      <c r="E55" s="25"/>
      <c r="F55" s="43"/>
    </row>
    <row r="56" ht="15.75" customHeight="1">
      <c r="A56" s="23"/>
      <c r="B56" s="23"/>
      <c r="C56" s="23"/>
      <c r="D56" s="23"/>
      <c r="E56" s="23"/>
      <c r="F56" s="45"/>
    </row>
    <row r="57" ht="15.75" customHeight="1">
      <c r="A57" s="25"/>
      <c r="B57" s="25"/>
      <c r="C57" s="25"/>
      <c r="D57" s="25"/>
      <c r="E57" s="25"/>
      <c r="F57" s="43"/>
    </row>
    <row r="58" ht="15.75" customHeight="1">
      <c r="A58" s="23"/>
      <c r="B58" s="23"/>
      <c r="C58" s="23"/>
      <c r="D58" s="23"/>
      <c r="E58" s="23"/>
      <c r="F58" s="45"/>
    </row>
    <row r="59" ht="15.75" customHeight="1">
      <c r="A59" s="25"/>
      <c r="B59" s="25"/>
      <c r="C59" s="25"/>
      <c r="D59" s="25"/>
      <c r="E59" s="25"/>
      <c r="F59" s="43"/>
    </row>
    <row r="60" ht="15.75" customHeight="1">
      <c r="A60" s="23"/>
      <c r="B60" s="23"/>
      <c r="C60" s="23"/>
      <c r="D60" s="23"/>
      <c r="E60" s="23"/>
      <c r="F60" s="45"/>
    </row>
    <row r="61" ht="15.75" customHeight="1">
      <c r="A61" s="25"/>
      <c r="B61" s="25"/>
      <c r="C61" s="25"/>
      <c r="D61" s="25"/>
      <c r="E61" s="25"/>
      <c r="F61" s="43"/>
    </row>
    <row r="62" ht="15.75" customHeight="1">
      <c r="A62" s="23"/>
      <c r="B62" s="23"/>
      <c r="C62" s="23"/>
      <c r="D62" s="23"/>
      <c r="E62" s="23"/>
      <c r="F62" s="45"/>
    </row>
    <row r="63" ht="15.75" customHeight="1">
      <c r="A63" s="25"/>
      <c r="B63" s="25"/>
      <c r="C63" s="25"/>
      <c r="D63" s="25"/>
      <c r="E63" s="25"/>
      <c r="F63" s="43"/>
    </row>
    <row r="64" ht="15.75" customHeight="1">
      <c r="A64" s="23"/>
      <c r="B64" s="23"/>
      <c r="C64" s="23"/>
      <c r="D64" s="23"/>
      <c r="E64" s="23"/>
      <c r="F64" s="45"/>
    </row>
    <row r="65" ht="15.75" customHeight="1">
      <c r="A65" s="25"/>
      <c r="B65" s="25"/>
      <c r="C65" s="25"/>
      <c r="D65" s="25"/>
      <c r="E65" s="25"/>
      <c r="F65" s="43"/>
    </row>
    <row r="66" ht="15.75" customHeight="1">
      <c r="A66" s="23"/>
      <c r="B66" s="23"/>
      <c r="C66" s="23"/>
      <c r="D66" s="23"/>
      <c r="E66" s="23"/>
      <c r="F66" s="45"/>
    </row>
    <row r="67" ht="15.75" customHeight="1">
      <c r="A67" s="25"/>
      <c r="B67" s="25"/>
      <c r="C67" s="25"/>
      <c r="D67" s="25"/>
      <c r="E67" s="25"/>
      <c r="F67" s="43"/>
    </row>
    <row r="68" ht="15.75" customHeight="1">
      <c r="A68" s="23"/>
      <c r="B68" s="23"/>
      <c r="C68" s="23"/>
      <c r="D68" s="23"/>
      <c r="E68" s="23"/>
      <c r="F68" s="45"/>
    </row>
    <row r="69" ht="15.75" customHeight="1">
      <c r="A69" s="25"/>
      <c r="B69" s="25"/>
      <c r="C69" s="25"/>
      <c r="D69" s="25"/>
      <c r="E69" s="25"/>
      <c r="F69" s="43"/>
    </row>
    <row r="70" ht="15.75" customHeight="1">
      <c r="A70" s="23"/>
      <c r="B70" s="23"/>
      <c r="C70" s="23"/>
      <c r="D70" s="23"/>
      <c r="E70" s="23"/>
      <c r="F70" s="45"/>
    </row>
    <row r="71" ht="15.75" customHeight="1">
      <c r="A71" s="25"/>
      <c r="B71" s="25"/>
      <c r="C71" s="25"/>
      <c r="D71" s="25"/>
      <c r="E71" s="25"/>
      <c r="F71" s="43"/>
    </row>
    <row r="72" ht="15.75" customHeight="1">
      <c r="A72" s="23"/>
      <c r="B72" s="23"/>
      <c r="C72" s="23"/>
      <c r="D72" s="23"/>
      <c r="E72" s="23"/>
      <c r="F72" s="45"/>
    </row>
    <row r="73" ht="15.75" customHeight="1">
      <c r="A73" s="25"/>
      <c r="B73" s="25"/>
      <c r="C73" s="25"/>
      <c r="D73" s="25"/>
      <c r="E73" s="25"/>
      <c r="F73" s="43"/>
    </row>
    <row r="74" ht="15.75" customHeight="1">
      <c r="A74" s="23"/>
      <c r="B74" s="23"/>
      <c r="C74" s="23"/>
      <c r="D74" s="23"/>
      <c r="E74" s="23"/>
      <c r="F74" s="45"/>
    </row>
    <row r="75" ht="15.75" customHeight="1">
      <c r="A75" s="25"/>
      <c r="B75" s="25"/>
      <c r="C75" s="25"/>
      <c r="D75" s="25"/>
      <c r="E75" s="25"/>
      <c r="F75" s="43"/>
    </row>
    <row r="76" ht="15.75" customHeight="1">
      <c r="A76" s="23"/>
      <c r="B76" s="23"/>
      <c r="C76" s="23"/>
      <c r="D76" s="23"/>
      <c r="E76" s="23"/>
      <c r="F76" s="45"/>
    </row>
    <row r="77" ht="15.75" customHeight="1">
      <c r="A77" s="25"/>
      <c r="B77" s="25"/>
      <c r="C77" s="25"/>
      <c r="D77" s="25"/>
      <c r="E77" s="25"/>
      <c r="F77" s="43"/>
    </row>
    <row r="78" ht="15.75" customHeight="1">
      <c r="A78" s="23"/>
      <c r="B78" s="23"/>
      <c r="C78" s="23"/>
      <c r="D78" s="23"/>
      <c r="E78" s="23"/>
      <c r="F78" s="45"/>
    </row>
    <row r="79" ht="15.75" customHeight="1">
      <c r="A79" s="25"/>
      <c r="B79" s="25"/>
      <c r="C79" s="25"/>
      <c r="D79" s="25"/>
      <c r="E79" s="25"/>
      <c r="F79" s="43"/>
    </row>
    <row r="80" ht="15.75" customHeight="1">
      <c r="A80" s="23"/>
      <c r="B80" s="23"/>
      <c r="C80" s="23"/>
      <c r="D80" s="23"/>
      <c r="E80" s="23"/>
      <c r="F80" s="45"/>
    </row>
    <row r="81" ht="15.75" customHeight="1">
      <c r="A81" s="25"/>
      <c r="B81" s="25"/>
      <c r="C81" s="25"/>
      <c r="D81" s="25"/>
      <c r="E81" s="25"/>
      <c r="F81" s="43"/>
    </row>
    <row r="82" ht="15.75" customHeight="1">
      <c r="A82" s="23"/>
      <c r="B82" s="23"/>
      <c r="C82" s="23"/>
      <c r="D82" s="23"/>
      <c r="E82" s="23"/>
      <c r="F82" s="45"/>
    </row>
    <row r="83" ht="15.75" customHeight="1">
      <c r="A83" s="25"/>
      <c r="B83" s="25"/>
      <c r="C83" s="25"/>
      <c r="D83" s="25"/>
      <c r="E83" s="25"/>
      <c r="F83" s="43"/>
    </row>
    <row r="84" ht="15.75" customHeight="1">
      <c r="A84" s="23"/>
      <c r="B84" s="23"/>
      <c r="C84" s="23"/>
      <c r="D84" s="23"/>
      <c r="E84" s="23"/>
      <c r="F84" s="45"/>
    </row>
    <row r="85" ht="15.75" customHeight="1">
      <c r="A85" s="25"/>
      <c r="B85" s="25"/>
      <c r="C85" s="25"/>
      <c r="D85" s="25"/>
      <c r="E85" s="25"/>
      <c r="F85" s="43"/>
    </row>
    <row r="86" ht="15.75" customHeight="1">
      <c r="A86" s="23"/>
      <c r="B86" s="23"/>
      <c r="C86" s="23"/>
      <c r="D86" s="23"/>
      <c r="E86" s="23"/>
      <c r="F86" s="45"/>
    </row>
    <row r="87" ht="15.75" customHeight="1">
      <c r="A87" s="25"/>
      <c r="B87" s="25"/>
      <c r="C87" s="25"/>
      <c r="D87" s="25"/>
      <c r="E87" s="25"/>
      <c r="F87" s="43"/>
    </row>
    <row r="88" ht="15.75" customHeight="1">
      <c r="A88" s="23"/>
      <c r="B88" s="23"/>
      <c r="C88" s="23"/>
      <c r="D88" s="23"/>
      <c r="E88" s="23"/>
      <c r="F88" s="45"/>
    </row>
    <row r="89" ht="15.75" customHeight="1">
      <c r="A89" s="25"/>
      <c r="B89" s="25"/>
      <c r="C89" s="25"/>
      <c r="D89" s="25"/>
      <c r="E89" s="25"/>
      <c r="F89" s="43"/>
    </row>
    <row r="90" ht="15.75" customHeight="1">
      <c r="A90" s="23"/>
      <c r="B90" s="23"/>
      <c r="C90" s="23"/>
      <c r="D90" s="23"/>
      <c r="E90" s="23"/>
      <c r="F90" s="45"/>
    </row>
    <row r="91" ht="15.75" customHeight="1">
      <c r="A91" s="25"/>
      <c r="B91" s="25"/>
      <c r="C91" s="25"/>
      <c r="D91" s="25"/>
      <c r="E91" s="25"/>
      <c r="F91" s="43"/>
    </row>
    <row r="92" ht="15.75" customHeight="1">
      <c r="A92" s="23"/>
      <c r="B92" s="23"/>
      <c r="C92" s="23"/>
      <c r="D92" s="23"/>
      <c r="E92" s="23"/>
      <c r="F92" s="45"/>
    </row>
    <row r="93" ht="15.75" customHeight="1">
      <c r="A93" s="25"/>
      <c r="B93" s="25"/>
      <c r="C93" s="25"/>
      <c r="D93" s="25"/>
      <c r="E93" s="25"/>
      <c r="F93" s="43"/>
    </row>
    <row r="94" ht="15.75" customHeight="1">
      <c r="A94" s="23"/>
      <c r="B94" s="23"/>
      <c r="C94" s="23"/>
      <c r="D94" s="23"/>
      <c r="E94" s="23"/>
      <c r="F94" s="45"/>
    </row>
    <row r="95" ht="15.75" customHeight="1">
      <c r="A95" s="25"/>
      <c r="B95" s="25"/>
      <c r="C95" s="25"/>
      <c r="D95" s="25"/>
      <c r="E95" s="25"/>
      <c r="F95" s="43"/>
    </row>
    <row r="96" ht="15.75" customHeight="1">
      <c r="A96" s="23"/>
      <c r="B96" s="23"/>
      <c r="C96" s="23"/>
      <c r="D96" s="23"/>
      <c r="E96" s="23"/>
      <c r="F96" s="45"/>
    </row>
    <row r="97" ht="15.75" customHeight="1">
      <c r="A97" s="25"/>
      <c r="B97" s="25"/>
      <c r="C97" s="25"/>
      <c r="D97" s="25"/>
      <c r="E97" s="25"/>
      <c r="F97" s="43"/>
    </row>
    <row r="98" ht="15.75" customHeight="1">
      <c r="A98" s="23"/>
      <c r="B98" s="23"/>
      <c r="C98" s="23"/>
      <c r="D98" s="23"/>
      <c r="E98" s="23"/>
      <c r="F98" s="45"/>
    </row>
    <row r="99" ht="15.75" customHeight="1">
      <c r="A99" s="25"/>
      <c r="B99" s="25"/>
      <c r="C99" s="25"/>
      <c r="D99" s="25"/>
      <c r="E99" s="25"/>
      <c r="F99" s="43"/>
    </row>
    <row r="100" ht="15.75" customHeight="1">
      <c r="A100" s="23"/>
      <c r="B100" s="23"/>
      <c r="C100" s="23"/>
      <c r="D100" s="23"/>
      <c r="E100" s="23"/>
      <c r="F100" s="45"/>
    </row>
    <row r="101" ht="15.75" customHeight="1">
      <c r="A101" s="25"/>
      <c r="B101" s="25"/>
      <c r="C101" s="25"/>
      <c r="D101" s="25"/>
      <c r="E101" s="25"/>
      <c r="F101" s="43"/>
    </row>
    <row r="102" ht="15.75" customHeight="1">
      <c r="A102" s="23"/>
      <c r="B102" s="23"/>
      <c r="C102" s="23"/>
      <c r="D102" s="23"/>
      <c r="E102" s="23"/>
      <c r="F102" s="45"/>
    </row>
    <row r="103" ht="15.75" customHeight="1">
      <c r="A103" s="25"/>
      <c r="B103" s="25"/>
      <c r="C103" s="25"/>
      <c r="D103" s="25"/>
      <c r="E103" s="25"/>
      <c r="F103" s="43"/>
    </row>
    <row r="104" ht="15.75" customHeight="1">
      <c r="A104" s="23"/>
      <c r="B104" s="23"/>
      <c r="C104" s="23"/>
      <c r="D104" s="23"/>
      <c r="E104" s="23"/>
      <c r="F104" s="45"/>
    </row>
    <row r="105" ht="15.75" customHeight="1">
      <c r="A105" s="25"/>
      <c r="B105" s="25"/>
      <c r="C105" s="25"/>
      <c r="D105" s="25"/>
      <c r="E105" s="25"/>
      <c r="F105" s="43"/>
    </row>
    <row r="106" ht="15.75" customHeight="1">
      <c r="A106" s="23"/>
      <c r="B106" s="23"/>
      <c r="C106" s="23"/>
      <c r="D106" s="23"/>
      <c r="E106" s="23"/>
      <c r="F106" s="45"/>
    </row>
    <row r="107" ht="15.75" customHeight="1">
      <c r="A107" s="25"/>
      <c r="B107" s="25"/>
      <c r="C107" s="25"/>
      <c r="D107" s="25"/>
      <c r="E107" s="25"/>
      <c r="F107" s="43"/>
    </row>
    <row r="108" ht="15.75" customHeight="1">
      <c r="A108" s="23"/>
      <c r="B108" s="23"/>
      <c r="C108" s="23"/>
      <c r="D108" s="23"/>
      <c r="E108" s="23"/>
      <c r="F108" s="45"/>
    </row>
    <row r="109" ht="15.75" customHeight="1">
      <c r="A109" s="25"/>
      <c r="B109" s="25"/>
      <c r="C109" s="25"/>
      <c r="D109" s="25"/>
      <c r="E109" s="25"/>
      <c r="F109" s="43"/>
    </row>
    <row r="110" ht="15.75" customHeight="1">
      <c r="A110" s="23"/>
      <c r="B110" s="23"/>
      <c r="C110" s="23"/>
      <c r="D110" s="23"/>
      <c r="E110" s="23"/>
      <c r="F110" s="45"/>
    </row>
    <row r="111" ht="15.75" customHeight="1">
      <c r="A111" s="25"/>
      <c r="B111" s="25"/>
      <c r="C111" s="25"/>
      <c r="D111" s="25"/>
      <c r="E111" s="25"/>
      <c r="F111" s="43"/>
    </row>
    <row r="112" ht="15.75" customHeight="1">
      <c r="A112" s="23"/>
      <c r="B112" s="23"/>
      <c r="C112" s="23"/>
      <c r="D112" s="23"/>
      <c r="E112" s="23"/>
      <c r="F112" s="45"/>
    </row>
    <row r="113" ht="15.75" customHeight="1">
      <c r="A113" s="25"/>
      <c r="B113" s="25"/>
      <c r="C113" s="25"/>
      <c r="D113" s="25"/>
      <c r="E113" s="25"/>
      <c r="F113" s="43"/>
    </row>
    <row r="114" ht="15.75" customHeight="1">
      <c r="A114" s="23"/>
      <c r="B114" s="23"/>
      <c r="C114" s="23"/>
      <c r="D114" s="23"/>
      <c r="E114" s="23"/>
      <c r="F114" s="45"/>
    </row>
    <row r="115" ht="15.75" customHeight="1">
      <c r="A115" s="25"/>
      <c r="B115" s="25"/>
      <c r="C115" s="25"/>
      <c r="D115" s="25"/>
      <c r="E115" s="25"/>
      <c r="F115" s="43"/>
    </row>
    <row r="116" ht="15.75" customHeight="1">
      <c r="A116" s="23"/>
      <c r="B116" s="23"/>
      <c r="C116" s="23"/>
      <c r="D116" s="23"/>
      <c r="E116" s="23"/>
      <c r="F116" s="45"/>
    </row>
    <row r="117" ht="15.75" customHeight="1">
      <c r="A117" s="25"/>
      <c r="B117" s="25"/>
      <c r="C117" s="25"/>
      <c r="D117" s="25"/>
      <c r="E117" s="25"/>
      <c r="F117" s="43"/>
    </row>
    <row r="118" ht="15.75" customHeight="1">
      <c r="A118" s="23"/>
      <c r="B118" s="23"/>
      <c r="C118" s="23"/>
      <c r="D118" s="23"/>
      <c r="E118" s="23"/>
      <c r="F118" s="45"/>
    </row>
    <row r="119" ht="15.75" customHeight="1">
      <c r="A119" s="25"/>
      <c r="B119" s="25"/>
      <c r="C119" s="25"/>
      <c r="D119" s="25"/>
      <c r="E119" s="25"/>
      <c r="F119" s="43"/>
    </row>
    <row r="120" ht="15.75" customHeight="1">
      <c r="A120" s="23"/>
      <c r="B120" s="23"/>
      <c r="C120" s="23"/>
      <c r="D120" s="23"/>
      <c r="E120" s="23"/>
      <c r="F120" s="45"/>
    </row>
    <row r="121" ht="15.75" customHeight="1">
      <c r="A121" s="25"/>
      <c r="B121" s="25"/>
      <c r="C121" s="25"/>
      <c r="D121" s="25"/>
      <c r="E121" s="25"/>
      <c r="F121" s="43"/>
    </row>
    <row r="122" ht="15.75" customHeight="1">
      <c r="A122" s="23"/>
      <c r="B122" s="23"/>
      <c r="C122" s="23"/>
      <c r="D122" s="23"/>
      <c r="E122" s="23"/>
      <c r="F122" s="45"/>
    </row>
    <row r="123" ht="15.75" customHeight="1">
      <c r="A123" s="25"/>
      <c r="B123" s="25"/>
      <c r="C123" s="25"/>
      <c r="D123" s="25"/>
      <c r="E123" s="25"/>
      <c r="F123" s="43"/>
    </row>
    <row r="124" ht="15.75" customHeight="1">
      <c r="A124" s="23"/>
      <c r="B124" s="23"/>
      <c r="C124" s="23"/>
      <c r="D124" s="23"/>
      <c r="E124" s="23"/>
      <c r="F124" s="45"/>
    </row>
    <row r="125" ht="15.75" customHeight="1">
      <c r="A125" s="25"/>
      <c r="B125" s="25"/>
      <c r="C125" s="25"/>
      <c r="D125" s="25"/>
      <c r="E125" s="25"/>
      <c r="F125" s="43"/>
    </row>
    <row r="126" ht="15.75" customHeight="1">
      <c r="A126" s="23"/>
      <c r="B126" s="23"/>
      <c r="C126" s="23"/>
      <c r="D126" s="23"/>
      <c r="E126" s="23"/>
      <c r="F126" s="45"/>
    </row>
    <row r="127" ht="15.75" customHeight="1">
      <c r="A127" s="25"/>
      <c r="B127" s="25"/>
      <c r="C127" s="25"/>
      <c r="D127" s="25"/>
      <c r="E127" s="25"/>
      <c r="F127" s="43"/>
    </row>
    <row r="128" ht="15.75" customHeight="1">
      <c r="A128" s="23"/>
      <c r="B128" s="23"/>
      <c r="C128" s="23"/>
      <c r="D128" s="23"/>
      <c r="E128" s="23"/>
      <c r="F128" s="45"/>
    </row>
    <row r="129" ht="15.75" customHeight="1">
      <c r="A129" s="25"/>
      <c r="B129" s="25"/>
      <c r="C129" s="25"/>
      <c r="D129" s="25"/>
      <c r="E129" s="25"/>
      <c r="F129" s="43"/>
    </row>
    <row r="130" ht="15.75" customHeight="1">
      <c r="A130" s="23"/>
      <c r="B130" s="23"/>
      <c r="C130" s="23"/>
      <c r="D130" s="23"/>
      <c r="E130" s="23"/>
      <c r="F130" s="45"/>
    </row>
    <row r="131" ht="15.75" customHeight="1">
      <c r="A131" s="25"/>
      <c r="B131" s="25"/>
      <c r="C131" s="25"/>
      <c r="D131" s="25"/>
      <c r="E131" s="25"/>
      <c r="F131" s="43"/>
    </row>
    <row r="132" ht="15.75" customHeight="1">
      <c r="A132" s="23"/>
      <c r="B132" s="23"/>
      <c r="C132" s="23"/>
      <c r="D132" s="23"/>
      <c r="E132" s="23"/>
      <c r="F132" s="45"/>
    </row>
    <row r="133" ht="15.75" customHeight="1">
      <c r="A133" s="25"/>
      <c r="B133" s="25"/>
      <c r="C133" s="25"/>
      <c r="D133" s="25"/>
      <c r="E133" s="25"/>
      <c r="F133" s="43"/>
    </row>
    <row r="134" ht="15.75" customHeight="1">
      <c r="A134" s="23"/>
      <c r="B134" s="23"/>
      <c r="C134" s="23"/>
      <c r="D134" s="23"/>
      <c r="E134" s="23"/>
      <c r="F134" s="45"/>
    </row>
    <row r="135" ht="15.75" customHeight="1">
      <c r="A135" s="25"/>
      <c r="B135" s="25"/>
      <c r="C135" s="25"/>
      <c r="D135" s="25"/>
      <c r="E135" s="25"/>
      <c r="F135" s="43"/>
    </row>
    <row r="136" ht="15.75" customHeight="1">
      <c r="A136" s="23"/>
      <c r="B136" s="23"/>
      <c r="C136" s="23"/>
      <c r="D136" s="23"/>
      <c r="E136" s="23"/>
      <c r="F136" s="45"/>
    </row>
    <row r="137" ht="15.75" customHeight="1">
      <c r="A137" s="25"/>
      <c r="B137" s="25"/>
      <c r="C137" s="25"/>
      <c r="D137" s="25"/>
      <c r="E137" s="25"/>
      <c r="F137" s="43"/>
    </row>
    <row r="138" ht="15.75" customHeight="1">
      <c r="A138" s="23"/>
      <c r="B138" s="23"/>
      <c r="C138" s="23"/>
      <c r="D138" s="23"/>
      <c r="E138" s="23"/>
      <c r="F138" s="45"/>
    </row>
    <row r="139" ht="15.75" customHeight="1">
      <c r="A139" s="25"/>
      <c r="B139" s="25"/>
      <c r="C139" s="25"/>
      <c r="D139" s="25"/>
      <c r="E139" s="25"/>
      <c r="F139" s="43"/>
    </row>
    <row r="140" ht="15.75" customHeight="1">
      <c r="A140" s="23"/>
      <c r="B140" s="23"/>
      <c r="C140" s="23"/>
      <c r="D140" s="23"/>
      <c r="E140" s="23"/>
      <c r="F140" s="45"/>
    </row>
    <row r="141" ht="15.75" customHeight="1">
      <c r="A141" s="25"/>
      <c r="B141" s="25"/>
      <c r="C141" s="25"/>
      <c r="D141" s="25"/>
      <c r="E141" s="25"/>
      <c r="F141" s="43"/>
    </row>
    <row r="142" ht="15.75" customHeight="1">
      <c r="A142" s="23"/>
      <c r="B142" s="23"/>
      <c r="C142" s="23"/>
      <c r="D142" s="23"/>
      <c r="E142" s="23"/>
      <c r="F142" s="45"/>
    </row>
    <row r="143" ht="15.75" customHeight="1">
      <c r="A143" s="25"/>
      <c r="B143" s="25"/>
      <c r="C143" s="25"/>
      <c r="D143" s="25"/>
      <c r="E143" s="25"/>
      <c r="F143" s="43"/>
    </row>
    <row r="144" ht="15.75" customHeight="1">
      <c r="A144" s="23"/>
      <c r="B144" s="23"/>
      <c r="C144" s="23"/>
      <c r="D144" s="23"/>
      <c r="E144" s="23"/>
      <c r="F144" s="45"/>
    </row>
    <row r="145" ht="15.75" customHeight="1">
      <c r="A145" s="25"/>
      <c r="B145" s="25"/>
      <c r="C145" s="25"/>
      <c r="D145" s="25"/>
      <c r="E145" s="25"/>
      <c r="F145" s="43"/>
    </row>
    <row r="146" ht="15.75" customHeight="1">
      <c r="A146" s="23"/>
      <c r="B146" s="23"/>
      <c r="C146" s="23"/>
      <c r="D146" s="23"/>
      <c r="E146" s="23"/>
      <c r="F146" s="45"/>
    </row>
    <row r="147" ht="15.75" customHeight="1">
      <c r="A147" s="25"/>
      <c r="B147" s="25"/>
      <c r="C147" s="25"/>
      <c r="D147" s="25"/>
      <c r="E147" s="25"/>
      <c r="F147" s="43"/>
    </row>
    <row r="148" ht="15.75" customHeight="1">
      <c r="A148" s="23"/>
      <c r="B148" s="23"/>
      <c r="C148" s="23"/>
      <c r="D148" s="23"/>
      <c r="E148" s="23"/>
      <c r="F148" s="45"/>
    </row>
    <row r="149" ht="15.75" customHeight="1">
      <c r="A149" s="25"/>
      <c r="B149" s="25"/>
      <c r="C149" s="25"/>
      <c r="D149" s="25"/>
      <c r="E149" s="25"/>
      <c r="F149" s="43"/>
    </row>
    <row r="150" ht="15.75" customHeight="1">
      <c r="A150" s="23"/>
      <c r="B150" s="23"/>
      <c r="C150" s="23"/>
      <c r="D150" s="23"/>
      <c r="E150" s="23"/>
      <c r="F150" s="45"/>
    </row>
    <row r="151" ht="15.75" customHeight="1">
      <c r="A151" s="25"/>
      <c r="B151" s="25"/>
      <c r="C151" s="25"/>
      <c r="D151" s="25"/>
      <c r="E151" s="25"/>
      <c r="F151" s="43"/>
    </row>
    <row r="152" ht="15.75" customHeight="1">
      <c r="A152" s="23"/>
      <c r="B152" s="23"/>
      <c r="C152" s="23"/>
      <c r="D152" s="23"/>
      <c r="E152" s="23"/>
      <c r="F152" s="45"/>
    </row>
    <row r="153" ht="15.75" customHeight="1">
      <c r="A153" s="25"/>
      <c r="B153" s="25"/>
      <c r="C153" s="25"/>
      <c r="D153" s="25"/>
      <c r="E153" s="25"/>
      <c r="F153" s="43"/>
    </row>
    <row r="154" ht="15.75" customHeight="1">
      <c r="A154" s="23"/>
      <c r="B154" s="23"/>
      <c r="C154" s="23"/>
      <c r="D154" s="23"/>
      <c r="E154" s="23"/>
      <c r="F154" s="45"/>
    </row>
    <row r="155" ht="15.75" customHeight="1">
      <c r="A155" s="25"/>
      <c r="B155" s="25"/>
      <c r="C155" s="25"/>
      <c r="D155" s="25"/>
      <c r="E155" s="25"/>
      <c r="F155" s="43"/>
    </row>
    <row r="156" ht="15.75" customHeight="1">
      <c r="A156" s="23"/>
      <c r="B156" s="23"/>
      <c r="C156" s="23"/>
      <c r="D156" s="23"/>
      <c r="E156" s="23"/>
      <c r="F156" s="45"/>
    </row>
    <row r="157" ht="15.75" customHeight="1">
      <c r="A157" s="25"/>
      <c r="B157" s="25"/>
      <c r="C157" s="25"/>
      <c r="D157" s="25"/>
      <c r="E157" s="25"/>
      <c r="F157" s="43"/>
    </row>
    <row r="158" ht="15.75" customHeight="1">
      <c r="A158" s="23"/>
      <c r="B158" s="23"/>
      <c r="C158" s="23"/>
      <c r="D158" s="23"/>
      <c r="E158" s="23"/>
      <c r="F158" s="45"/>
    </row>
    <row r="159" ht="15.75" customHeight="1">
      <c r="A159" s="25"/>
      <c r="B159" s="25"/>
      <c r="C159" s="25"/>
      <c r="D159" s="25"/>
      <c r="E159" s="25"/>
      <c r="F159" s="43"/>
    </row>
    <row r="160" ht="15.75" customHeight="1">
      <c r="A160" s="23"/>
      <c r="B160" s="23"/>
      <c r="C160" s="23"/>
      <c r="D160" s="23"/>
      <c r="E160" s="23"/>
      <c r="F160" s="45"/>
    </row>
    <row r="161" ht="15.75" customHeight="1">
      <c r="A161" s="25"/>
      <c r="B161" s="25"/>
      <c r="C161" s="25"/>
      <c r="D161" s="25"/>
      <c r="E161" s="25"/>
      <c r="F161" s="43"/>
    </row>
    <row r="162" ht="15.75" customHeight="1">
      <c r="A162" s="23"/>
      <c r="B162" s="23"/>
      <c r="C162" s="23"/>
      <c r="D162" s="23"/>
      <c r="E162" s="23"/>
      <c r="F162" s="45"/>
    </row>
    <row r="163" ht="15.75" customHeight="1">
      <c r="A163" s="25"/>
      <c r="B163" s="25"/>
      <c r="C163" s="25"/>
      <c r="D163" s="25"/>
      <c r="E163" s="25"/>
      <c r="F163" s="43"/>
    </row>
    <row r="164" ht="15.75" customHeight="1">
      <c r="A164" s="23"/>
      <c r="B164" s="23"/>
      <c r="C164" s="23"/>
      <c r="D164" s="23"/>
      <c r="E164" s="23"/>
      <c r="F164" s="45"/>
    </row>
    <row r="165" ht="15.75" customHeight="1">
      <c r="A165" s="25"/>
      <c r="B165" s="25"/>
      <c r="C165" s="25"/>
      <c r="D165" s="25"/>
      <c r="E165" s="25"/>
      <c r="F165" s="43"/>
    </row>
    <row r="166" ht="15.75" customHeight="1">
      <c r="A166" s="23"/>
      <c r="B166" s="23"/>
      <c r="C166" s="23"/>
      <c r="D166" s="23"/>
      <c r="E166" s="23"/>
      <c r="F166" s="45"/>
    </row>
    <row r="167" ht="15.75" customHeight="1">
      <c r="A167" s="25"/>
      <c r="B167" s="25"/>
      <c r="C167" s="25"/>
      <c r="D167" s="25"/>
      <c r="E167" s="25"/>
      <c r="F167" s="43"/>
    </row>
    <row r="168" ht="15.75" customHeight="1">
      <c r="A168" s="23"/>
      <c r="B168" s="23"/>
      <c r="C168" s="23"/>
      <c r="D168" s="23"/>
      <c r="E168" s="23"/>
      <c r="F168" s="45"/>
    </row>
    <row r="169" ht="15.75" customHeight="1">
      <c r="A169" s="25"/>
      <c r="B169" s="25"/>
      <c r="C169" s="25"/>
      <c r="D169" s="25"/>
      <c r="E169" s="25"/>
      <c r="F169" s="43"/>
    </row>
    <row r="170" ht="15.75" customHeight="1">
      <c r="A170" s="23"/>
      <c r="B170" s="23"/>
      <c r="C170" s="23"/>
      <c r="D170" s="23"/>
      <c r="E170" s="23"/>
      <c r="F170" s="45"/>
    </row>
    <row r="171" ht="15.75" customHeight="1">
      <c r="A171" s="25"/>
      <c r="B171" s="25"/>
      <c r="C171" s="25"/>
      <c r="D171" s="25"/>
      <c r="E171" s="25"/>
      <c r="F171" s="43"/>
    </row>
    <row r="172" ht="15.75" customHeight="1">
      <c r="A172" s="23"/>
      <c r="B172" s="23"/>
      <c r="C172" s="23"/>
      <c r="D172" s="23"/>
      <c r="E172" s="23"/>
      <c r="F172" s="45"/>
    </row>
    <row r="173" ht="15.75" customHeight="1">
      <c r="A173" s="25"/>
      <c r="B173" s="25"/>
      <c r="C173" s="25"/>
      <c r="D173" s="25"/>
      <c r="E173" s="25"/>
      <c r="F173" s="43"/>
    </row>
    <row r="174" ht="15.75" customHeight="1">
      <c r="A174" s="23"/>
      <c r="B174" s="23"/>
      <c r="C174" s="23"/>
      <c r="D174" s="23"/>
      <c r="E174" s="23"/>
      <c r="F174" s="45"/>
    </row>
    <row r="175" ht="15.75" customHeight="1">
      <c r="A175" s="25"/>
      <c r="B175" s="25"/>
      <c r="C175" s="25"/>
      <c r="D175" s="25"/>
      <c r="E175" s="25"/>
      <c r="F175" s="43"/>
    </row>
    <row r="176" ht="15.75" customHeight="1">
      <c r="A176" s="23"/>
      <c r="B176" s="23"/>
      <c r="C176" s="23"/>
      <c r="D176" s="23"/>
      <c r="E176" s="23"/>
      <c r="F176" s="45"/>
    </row>
    <row r="177" ht="15.75" customHeight="1">
      <c r="A177" s="25"/>
      <c r="B177" s="25"/>
      <c r="C177" s="25"/>
      <c r="D177" s="25"/>
      <c r="E177" s="25"/>
      <c r="F177" s="43"/>
    </row>
    <row r="178" ht="15.75" customHeight="1">
      <c r="A178" s="23"/>
      <c r="B178" s="23"/>
      <c r="C178" s="23"/>
      <c r="D178" s="23"/>
      <c r="E178" s="23"/>
      <c r="F178" s="45"/>
    </row>
    <row r="179" ht="15.75" customHeight="1">
      <c r="A179" s="25"/>
      <c r="B179" s="25"/>
      <c r="C179" s="25"/>
      <c r="D179" s="25"/>
      <c r="E179" s="25"/>
      <c r="F179" s="43"/>
    </row>
    <row r="180" ht="15.75" customHeight="1">
      <c r="A180" s="23"/>
      <c r="B180" s="23"/>
      <c r="C180" s="23"/>
      <c r="D180" s="23"/>
      <c r="E180" s="23"/>
      <c r="F180" s="45"/>
    </row>
    <row r="181" ht="15.75" customHeight="1">
      <c r="A181" s="25"/>
      <c r="B181" s="25"/>
      <c r="C181" s="25"/>
      <c r="D181" s="25"/>
      <c r="E181" s="25"/>
      <c r="F181" s="43"/>
    </row>
    <row r="182" ht="15.75" customHeight="1">
      <c r="A182" s="23"/>
      <c r="B182" s="23"/>
      <c r="C182" s="23"/>
      <c r="D182" s="23"/>
      <c r="E182" s="23"/>
      <c r="F182" s="45"/>
    </row>
    <row r="183" ht="15.75" customHeight="1">
      <c r="A183" s="25"/>
      <c r="B183" s="25"/>
      <c r="C183" s="25"/>
      <c r="D183" s="25"/>
      <c r="E183" s="25"/>
      <c r="F183" s="43"/>
    </row>
    <row r="184" ht="15.75" customHeight="1">
      <c r="A184" s="23"/>
      <c r="B184" s="23"/>
      <c r="C184" s="23"/>
      <c r="D184" s="23"/>
      <c r="E184" s="23"/>
      <c r="F184" s="45"/>
    </row>
    <row r="185" ht="15.75" customHeight="1">
      <c r="A185" s="25"/>
      <c r="B185" s="25"/>
      <c r="C185" s="25"/>
      <c r="D185" s="25"/>
      <c r="E185" s="25"/>
      <c r="F185" s="43"/>
    </row>
    <row r="186" ht="15.75" customHeight="1">
      <c r="A186" s="23"/>
      <c r="B186" s="23"/>
      <c r="C186" s="23"/>
      <c r="D186" s="23"/>
      <c r="E186" s="23"/>
      <c r="F186" s="45"/>
    </row>
    <row r="187" ht="15.75" customHeight="1">
      <c r="A187" s="25"/>
      <c r="B187" s="25"/>
      <c r="C187" s="25"/>
      <c r="D187" s="25"/>
      <c r="E187" s="25"/>
      <c r="F187" s="43"/>
    </row>
    <row r="188" ht="15.75" customHeight="1">
      <c r="A188" s="23"/>
      <c r="B188" s="23"/>
      <c r="C188" s="23"/>
      <c r="D188" s="23"/>
      <c r="E188" s="23"/>
      <c r="F188" s="45"/>
    </row>
    <row r="189" ht="15.75" customHeight="1">
      <c r="A189" s="25"/>
      <c r="B189" s="25"/>
      <c r="C189" s="25"/>
      <c r="D189" s="25"/>
      <c r="E189" s="25"/>
      <c r="F189" s="43"/>
    </row>
    <row r="190" ht="15.75" customHeight="1">
      <c r="A190" s="23"/>
      <c r="B190" s="23"/>
      <c r="C190" s="23"/>
      <c r="D190" s="23"/>
      <c r="E190" s="23"/>
      <c r="F190" s="45"/>
    </row>
    <row r="191" ht="15.75" customHeight="1">
      <c r="A191" s="25"/>
      <c r="B191" s="25"/>
      <c r="C191" s="25"/>
      <c r="D191" s="25"/>
      <c r="E191" s="25"/>
      <c r="F191" s="43"/>
    </row>
    <row r="192" ht="15.75" customHeight="1">
      <c r="A192" s="23"/>
      <c r="B192" s="23"/>
      <c r="C192" s="23"/>
      <c r="D192" s="23"/>
      <c r="E192" s="23"/>
      <c r="F192" s="45"/>
    </row>
    <row r="193" ht="15.75" customHeight="1">
      <c r="A193" s="25"/>
      <c r="B193" s="25"/>
      <c r="C193" s="25"/>
      <c r="D193" s="25"/>
      <c r="E193" s="25"/>
      <c r="F193" s="43"/>
    </row>
    <row r="194" ht="15.75" customHeight="1">
      <c r="A194" s="23"/>
      <c r="B194" s="23"/>
      <c r="C194" s="23"/>
      <c r="D194" s="23"/>
      <c r="E194" s="23"/>
      <c r="F194" s="45"/>
    </row>
    <row r="195" ht="15.75" customHeight="1">
      <c r="A195" s="25"/>
      <c r="B195" s="25"/>
      <c r="C195" s="25"/>
      <c r="D195" s="25"/>
      <c r="E195" s="25"/>
      <c r="F195" s="43"/>
    </row>
    <row r="196" ht="15.75" customHeight="1">
      <c r="A196" s="23"/>
      <c r="B196" s="23"/>
      <c r="C196" s="23"/>
      <c r="D196" s="23"/>
      <c r="E196" s="23"/>
      <c r="F196" s="45"/>
    </row>
    <row r="197" ht="15.75" customHeight="1">
      <c r="A197" s="25"/>
      <c r="B197" s="25"/>
      <c r="C197" s="25"/>
      <c r="D197" s="25"/>
      <c r="E197" s="25"/>
      <c r="F197" s="43"/>
    </row>
    <row r="198" ht="15.75" customHeight="1">
      <c r="A198" s="23"/>
      <c r="B198" s="23"/>
      <c r="C198" s="23"/>
      <c r="D198" s="23"/>
      <c r="E198" s="23"/>
      <c r="F198" s="45"/>
    </row>
    <row r="199" ht="15.75" customHeight="1">
      <c r="A199" s="25"/>
      <c r="B199" s="25"/>
      <c r="C199" s="25"/>
      <c r="D199" s="25"/>
      <c r="E199" s="25"/>
      <c r="F199" s="43"/>
    </row>
    <row r="200" ht="15.75" customHeight="1">
      <c r="A200" s="23"/>
      <c r="B200" s="23"/>
      <c r="C200" s="23"/>
      <c r="D200" s="23"/>
      <c r="E200" s="23"/>
      <c r="F200" s="45"/>
    </row>
    <row r="201" ht="15.75" customHeight="1">
      <c r="A201" s="25"/>
      <c r="B201" s="25"/>
      <c r="C201" s="25"/>
      <c r="D201" s="25"/>
      <c r="E201" s="25"/>
      <c r="F201" s="43"/>
    </row>
    <row r="202" ht="15.75" customHeight="1">
      <c r="A202" s="23"/>
      <c r="B202" s="23"/>
      <c r="C202" s="23"/>
      <c r="D202" s="23"/>
      <c r="E202" s="23"/>
      <c r="F202" s="45"/>
    </row>
    <row r="203" ht="15.75" customHeight="1">
      <c r="A203" s="25"/>
      <c r="B203" s="25"/>
      <c r="C203" s="25"/>
      <c r="D203" s="25"/>
      <c r="E203" s="25"/>
      <c r="F203" s="43"/>
    </row>
    <row r="204" ht="15.75" customHeight="1">
      <c r="A204" s="23"/>
      <c r="B204" s="23"/>
      <c r="C204" s="23"/>
      <c r="D204" s="23"/>
      <c r="E204" s="23"/>
      <c r="F204" s="45"/>
    </row>
    <row r="205" ht="15.75" customHeight="1">
      <c r="A205" s="25"/>
      <c r="B205" s="25"/>
      <c r="C205" s="25"/>
      <c r="D205" s="25"/>
      <c r="E205" s="25"/>
      <c r="F205" s="43"/>
    </row>
    <row r="206" ht="15.75" customHeight="1">
      <c r="A206" s="23"/>
      <c r="B206" s="23"/>
      <c r="C206" s="23"/>
      <c r="D206" s="23"/>
      <c r="E206" s="23"/>
      <c r="F206" s="45"/>
    </row>
    <row r="207" ht="15.75" customHeight="1">
      <c r="A207" s="25"/>
      <c r="B207" s="25"/>
      <c r="C207" s="25"/>
      <c r="D207" s="25"/>
      <c r="E207" s="25"/>
      <c r="F207" s="43"/>
    </row>
    <row r="208" ht="15.75" customHeight="1">
      <c r="A208" s="23"/>
      <c r="B208" s="23"/>
      <c r="C208" s="23"/>
      <c r="D208" s="23"/>
      <c r="E208" s="23"/>
      <c r="F208" s="45"/>
    </row>
    <row r="209" ht="15.75" customHeight="1">
      <c r="A209" s="25"/>
      <c r="B209" s="25"/>
      <c r="C209" s="25"/>
      <c r="D209" s="25"/>
      <c r="E209" s="25"/>
      <c r="F209" s="43"/>
    </row>
    <row r="210" ht="15.75" customHeight="1">
      <c r="A210" s="23"/>
      <c r="B210" s="23"/>
      <c r="C210" s="23"/>
      <c r="D210" s="23"/>
      <c r="E210" s="23"/>
      <c r="F210" s="45"/>
    </row>
    <row r="211" ht="15.75" customHeight="1">
      <c r="A211" s="25"/>
      <c r="B211" s="25"/>
      <c r="C211" s="25"/>
      <c r="D211" s="25"/>
      <c r="E211" s="25"/>
      <c r="F211" s="43"/>
    </row>
    <row r="212" ht="15.75" customHeight="1">
      <c r="A212" s="23"/>
      <c r="B212" s="23"/>
      <c r="C212" s="23"/>
      <c r="D212" s="23"/>
      <c r="E212" s="23"/>
      <c r="F212" s="45"/>
    </row>
    <row r="213" ht="15.75" customHeight="1">
      <c r="A213" s="25"/>
      <c r="B213" s="25"/>
      <c r="C213" s="25"/>
      <c r="D213" s="25"/>
      <c r="E213" s="25"/>
      <c r="F213" s="43"/>
    </row>
    <row r="214" ht="15.75" customHeight="1">
      <c r="A214" s="23"/>
      <c r="B214" s="23"/>
      <c r="C214" s="23"/>
      <c r="D214" s="23"/>
      <c r="E214" s="23"/>
      <c r="F214" s="45"/>
    </row>
    <row r="215" ht="15.75" customHeight="1">
      <c r="A215" s="25"/>
      <c r="B215" s="25"/>
      <c r="C215" s="25"/>
      <c r="D215" s="25"/>
      <c r="E215" s="25"/>
      <c r="F215" s="43"/>
    </row>
    <row r="216" ht="15.75" customHeight="1">
      <c r="A216" s="23"/>
      <c r="B216" s="23"/>
      <c r="C216" s="23"/>
      <c r="D216" s="23"/>
      <c r="E216" s="23"/>
      <c r="F216" s="45"/>
    </row>
    <row r="217" ht="15.75" customHeight="1">
      <c r="A217" s="25"/>
      <c r="B217" s="25"/>
      <c r="C217" s="25"/>
      <c r="D217" s="25"/>
      <c r="E217" s="25"/>
      <c r="F217" s="43"/>
    </row>
    <row r="218" ht="15.75" customHeight="1">
      <c r="A218" s="23"/>
      <c r="B218" s="23"/>
      <c r="C218" s="23"/>
      <c r="D218" s="23"/>
      <c r="E218" s="23"/>
      <c r="F218" s="45"/>
    </row>
    <row r="219" ht="15.75" customHeight="1">
      <c r="D219" s="47"/>
    </row>
    <row r="220" ht="15.75" customHeight="1">
      <c r="D220" s="47"/>
    </row>
    <row r="221" ht="15.75" customHeight="1">
      <c r="D221" s="47"/>
    </row>
    <row r="222" ht="15.75" customHeight="1">
      <c r="D222" s="47"/>
    </row>
    <row r="223" ht="15.75" customHeight="1">
      <c r="D223" s="47"/>
    </row>
    <row r="224" ht="15.75" customHeight="1">
      <c r="D224" s="47"/>
    </row>
    <row r="225" ht="15.75" customHeight="1">
      <c r="D225" s="47"/>
    </row>
    <row r="226" ht="15.75" customHeight="1">
      <c r="D226" s="47"/>
    </row>
    <row r="227" ht="15.75" customHeight="1">
      <c r="D227" s="47"/>
    </row>
    <row r="228" ht="15.75" customHeight="1">
      <c r="D228" s="47"/>
    </row>
    <row r="229" ht="15.75" customHeight="1">
      <c r="D229" s="47"/>
    </row>
    <row r="230" ht="15.75" customHeight="1">
      <c r="D230" s="47"/>
    </row>
    <row r="231" ht="15.75" customHeight="1">
      <c r="D231" s="47"/>
    </row>
    <row r="232" ht="15.75" customHeight="1">
      <c r="D232" s="47"/>
    </row>
    <row r="233" ht="15.75" customHeight="1">
      <c r="D233" s="47"/>
    </row>
    <row r="234" ht="15.75" customHeight="1">
      <c r="D234" s="47"/>
    </row>
    <row r="235" ht="15.75" customHeight="1">
      <c r="D235" s="47"/>
    </row>
    <row r="236" ht="15.75" customHeight="1">
      <c r="D236" s="47"/>
    </row>
    <row r="237" ht="15.75" customHeight="1">
      <c r="D237" s="47"/>
    </row>
    <row r="238" ht="15.75" customHeight="1">
      <c r="D238" s="47"/>
    </row>
    <row r="239" ht="15.75" customHeight="1">
      <c r="D239" s="47"/>
    </row>
    <row r="240" ht="15.75" customHeight="1">
      <c r="D240" s="47"/>
    </row>
    <row r="241" ht="15.75" customHeight="1">
      <c r="D241" s="47"/>
    </row>
    <row r="242" ht="15.75" customHeight="1">
      <c r="D242" s="47"/>
    </row>
    <row r="243" ht="15.75" customHeight="1">
      <c r="D243" s="47"/>
    </row>
    <row r="244" ht="15.75" customHeight="1">
      <c r="D244" s="47"/>
    </row>
    <row r="245" ht="15.75" customHeight="1">
      <c r="D245" s="47"/>
    </row>
    <row r="246" ht="15.75" customHeight="1">
      <c r="D246" s="47"/>
    </row>
    <row r="247" ht="15.75" customHeight="1">
      <c r="D247" s="47"/>
    </row>
    <row r="248" ht="15.75" customHeight="1">
      <c r="D248" s="47"/>
    </row>
    <row r="249" ht="15.75" customHeight="1">
      <c r="D249" s="47"/>
    </row>
    <row r="250" ht="15.75" customHeight="1">
      <c r="D250" s="47"/>
    </row>
    <row r="251" ht="15.75" customHeight="1">
      <c r="D251" s="47"/>
    </row>
    <row r="252" ht="15.75" customHeight="1">
      <c r="D252" s="47"/>
    </row>
    <row r="253" ht="15.75" customHeight="1">
      <c r="D253" s="47"/>
    </row>
    <row r="254" ht="15.75" customHeight="1">
      <c r="D254" s="47"/>
    </row>
    <row r="255" ht="15.75" customHeight="1">
      <c r="D255" s="47"/>
    </row>
    <row r="256" ht="15.75" customHeight="1">
      <c r="D256" s="47"/>
    </row>
    <row r="257" ht="15.75" customHeight="1">
      <c r="D257" s="47"/>
    </row>
    <row r="258" ht="15.75" customHeight="1">
      <c r="D258" s="47"/>
    </row>
    <row r="259" ht="15.75" customHeight="1">
      <c r="D259" s="47"/>
    </row>
    <row r="260" ht="15.75" customHeight="1">
      <c r="D260" s="47"/>
    </row>
    <row r="261" ht="15.75" customHeight="1">
      <c r="D261" s="47"/>
    </row>
    <row r="262" ht="15.75" customHeight="1">
      <c r="D262" s="47"/>
    </row>
    <row r="263" ht="15.75" customHeight="1">
      <c r="D263" s="47"/>
    </row>
    <row r="264" ht="15.75" customHeight="1">
      <c r="D264" s="47"/>
    </row>
    <row r="265" ht="15.75" customHeight="1">
      <c r="D265" s="47"/>
    </row>
    <row r="266" ht="15.75" customHeight="1">
      <c r="D266" s="47"/>
    </row>
    <row r="267" ht="15.75" customHeight="1">
      <c r="D267" s="47"/>
    </row>
    <row r="268" ht="15.75" customHeight="1">
      <c r="D268" s="47"/>
    </row>
    <row r="269" ht="15.75" customHeight="1">
      <c r="D269" s="47"/>
    </row>
    <row r="270" ht="15.75" customHeight="1">
      <c r="D270" s="47"/>
    </row>
    <row r="271" ht="15.75" customHeight="1">
      <c r="D271" s="47"/>
    </row>
    <row r="272" ht="15.75" customHeight="1">
      <c r="D272" s="47"/>
    </row>
    <row r="273" ht="15.75" customHeight="1">
      <c r="D273" s="47"/>
    </row>
    <row r="274" ht="15.75" customHeight="1">
      <c r="D274" s="47"/>
    </row>
    <row r="275" ht="15.75" customHeight="1">
      <c r="D275" s="47"/>
    </row>
    <row r="276" ht="15.75" customHeight="1">
      <c r="D276" s="47"/>
    </row>
    <row r="277" ht="15.75" customHeight="1">
      <c r="D277" s="47"/>
    </row>
    <row r="278" ht="15.75" customHeight="1">
      <c r="D278" s="47"/>
    </row>
    <row r="279" ht="15.75" customHeight="1">
      <c r="D279" s="47"/>
    </row>
    <row r="280" ht="15.75" customHeight="1">
      <c r="D280" s="47"/>
    </row>
    <row r="281" ht="15.75" customHeight="1">
      <c r="D281" s="47"/>
    </row>
    <row r="282" ht="15.75" customHeight="1">
      <c r="D282" s="47"/>
    </row>
    <row r="283" ht="15.75" customHeight="1">
      <c r="D283" s="47"/>
    </row>
    <row r="284" ht="15.75" customHeight="1">
      <c r="D284" s="47"/>
    </row>
    <row r="285" ht="15.75" customHeight="1">
      <c r="D285" s="47"/>
    </row>
    <row r="286" ht="15.75" customHeight="1">
      <c r="D286" s="47"/>
    </row>
    <row r="287" ht="15.75" customHeight="1">
      <c r="D287" s="47"/>
    </row>
    <row r="288" ht="15.75" customHeight="1">
      <c r="D288" s="47"/>
    </row>
    <row r="289" ht="15.75" customHeight="1">
      <c r="D289" s="47"/>
    </row>
    <row r="290" ht="15.75" customHeight="1">
      <c r="D290" s="47"/>
    </row>
    <row r="291" ht="15.75" customHeight="1">
      <c r="D291" s="47"/>
    </row>
    <row r="292" ht="15.75" customHeight="1">
      <c r="D292" s="47"/>
    </row>
    <row r="293" ht="15.75" customHeight="1">
      <c r="D293" s="47"/>
    </row>
    <row r="294" ht="15.75" customHeight="1">
      <c r="D294" s="47"/>
    </row>
    <row r="295" ht="15.75" customHeight="1">
      <c r="D295" s="47"/>
    </row>
    <row r="296" ht="15.75" customHeight="1">
      <c r="D296" s="47"/>
    </row>
    <row r="297" ht="15.75" customHeight="1">
      <c r="D297" s="47"/>
    </row>
    <row r="298" ht="15.75" customHeight="1">
      <c r="D298" s="47"/>
    </row>
    <row r="299" ht="15.75" customHeight="1">
      <c r="D299" s="47"/>
    </row>
    <row r="300" ht="15.75" customHeight="1">
      <c r="D300" s="47"/>
    </row>
    <row r="301" ht="15.75" customHeight="1">
      <c r="D301" s="47"/>
    </row>
    <row r="302" ht="15.75" customHeight="1">
      <c r="D302" s="47"/>
    </row>
    <row r="303" ht="15.75" customHeight="1">
      <c r="D303" s="47"/>
    </row>
    <row r="304" ht="15.75" customHeight="1">
      <c r="D304" s="47"/>
    </row>
    <row r="305" ht="15.75" customHeight="1">
      <c r="D305" s="47"/>
    </row>
    <row r="306" ht="15.75" customHeight="1">
      <c r="D306" s="47"/>
    </row>
    <row r="307" ht="15.75" customHeight="1">
      <c r="D307" s="47"/>
    </row>
    <row r="308" ht="15.75" customHeight="1">
      <c r="D308" s="47"/>
    </row>
    <row r="309" ht="15.75" customHeight="1">
      <c r="D309" s="47"/>
    </row>
    <row r="310" ht="15.75" customHeight="1">
      <c r="D310" s="47"/>
    </row>
    <row r="311" ht="15.75" customHeight="1">
      <c r="D311" s="47"/>
    </row>
    <row r="312" ht="15.75" customHeight="1">
      <c r="D312" s="47"/>
    </row>
    <row r="313" ht="15.75" customHeight="1">
      <c r="D313" s="47"/>
    </row>
    <row r="314" ht="15.75" customHeight="1">
      <c r="D314" s="47"/>
    </row>
    <row r="315" ht="15.75" customHeight="1">
      <c r="D315" s="47"/>
    </row>
    <row r="316" ht="15.75" customHeight="1">
      <c r="D316" s="47"/>
    </row>
    <row r="317" ht="15.75" customHeight="1">
      <c r="D317" s="47"/>
    </row>
    <row r="318" ht="15.75" customHeight="1">
      <c r="D318" s="47"/>
    </row>
    <row r="319" ht="15.75" customHeight="1">
      <c r="D319" s="47"/>
    </row>
    <row r="320" ht="15.75" customHeight="1">
      <c r="D320" s="47"/>
    </row>
    <row r="321" ht="15.75" customHeight="1">
      <c r="D321" s="47"/>
    </row>
    <row r="322" ht="15.75" customHeight="1">
      <c r="D322" s="47"/>
    </row>
    <row r="323" ht="15.75" customHeight="1">
      <c r="D323" s="47"/>
    </row>
    <row r="324" ht="15.75" customHeight="1">
      <c r="D324" s="47"/>
    </row>
    <row r="325" ht="15.75" customHeight="1">
      <c r="D325" s="47"/>
    </row>
    <row r="326" ht="15.75" customHeight="1">
      <c r="D326" s="47"/>
    </row>
    <row r="327" ht="15.75" customHeight="1">
      <c r="D327" s="47"/>
    </row>
    <row r="328" ht="15.75" customHeight="1">
      <c r="D328" s="47"/>
    </row>
    <row r="329" ht="15.75" customHeight="1">
      <c r="D329" s="47"/>
    </row>
    <row r="330" ht="15.75" customHeight="1">
      <c r="D330" s="47"/>
    </row>
    <row r="331" ht="15.75" customHeight="1">
      <c r="D331" s="47"/>
    </row>
    <row r="332" ht="15.75" customHeight="1">
      <c r="D332" s="47"/>
    </row>
    <row r="333" ht="15.75" customHeight="1">
      <c r="D333" s="47"/>
    </row>
    <row r="334" ht="15.75" customHeight="1">
      <c r="D334" s="47"/>
    </row>
    <row r="335" ht="15.75" customHeight="1">
      <c r="D335" s="47"/>
    </row>
    <row r="336" ht="15.75" customHeight="1">
      <c r="D336" s="47"/>
    </row>
    <row r="337" ht="15.75" customHeight="1">
      <c r="D337" s="47"/>
    </row>
    <row r="338" ht="15.75" customHeight="1">
      <c r="D338" s="47"/>
    </row>
    <row r="339" ht="15.75" customHeight="1">
      <c r="D339" s="47"/>
    </row>
    <row r="340" ht="15.75" customHeight="1">
      <c r="D340" s="47"/>
    </row>
    <row r="341" ht="15.75" customHeight="1">
      <c r="D341" s="47"/>
    </row>
    <row r="342" ht="15.75" customHeight="1">
      <c r="D342" s="47"/>
    </row>
    <row r="343" ht="15.75" customHeight="1">
      <c r="D343" s="47"/>
    </row>
    <row r="344" ht="15.75" customHeight="1">
      <c r="D344" s="47"/>
    </row>
    <row r="345" ht="15.75" customHeight="1">
      <c r="D345" s="47"/>
    </row>
    <row r="346" ht="15.75" customHeight="1">
      <c r="D346" s="47"/>
    </row>
    <row r="347" ht="15.75" customHeight="1">
      <c r="D347" s="47"/>
    </row>
    <row r="348" ht="15.75" customHeight="1">
      <c r="D348" s="47"/>
    </row>
    <row r="349" ht="15.75" customHeight="1">
      <c r="D349" s="47"/>
    </row>
    <row r="350" ht="15.75" customHeight="1">
      <c r="D350" s="47"/>
    </row>
    <row r="351" ht="15.75" customHeight="1">
      <c r="D351" s="47"/>
    </row>
    <row r="352" ht="15.75" customHeight="1">
      <c r="D352" s="47"/>
    </row>
    <row r="353" ht="15.75" customHeight="1">
      <c r="D353" s="47"/>
    </row>
    <row r="354" ht="15.75" customHeight="1">
      <c r="D354" s="47"/>
    </row>
    <row r="355" ht="15.75" customHeight="1">
      <c r="D355" s="47"/>
    </row>
    <row r="356" ht="15.75" customHeight="1">
      <c r="D356" s="47"/>
    </row>
    <row r="357" ht="15.75" customHeight="1">
      <c r="D357" s="47"/>
    </row>
    <row r="358" ht="15.75" customHeight="1">
      <c r="D358" s="47"/>
    </row>
    <row r="359" ht="15.75" customHeight="1">
      <c r="D359" s="47"/>
    </row>
    <row r="360" ht="15.75" customHeight="1">
      <c r="D360" s="47"/>
    </row>
    <row r="361" ht="15.75" customHeight="1">
      <c r="D361" s="47"/>
    </row>
    <row r="362" ht="15.75" customHeight="1">
      <c r="D362" s="47"/>
    </row>
    <row r="363" ht="15.75" customHeight="1">
      <c r="D363" s="47"/>
    </row>
    <row r="364" ht="15.75" customHeight="1">
      <c r="D364" s="47"/>
    </row>
    <row r="365" ht="15.75" customHeight="1">
      <c r="D365" s="47"/>
    </row>
    <row r="366" ht="15.75" customHeight="1">
      <c r="D366" s="47"/>
    </row>
    <row r="367" ht="15.75" customHeight="1">
      <c r="D367" s="47"/>
    </row>
    <row r="368" ht="15.75" customHeight="1">
      <c r="D368" s="47"/>
    </row>
    <row r="369" ht="15.75" customHeight="1">
      <c r="D369" s="47"/>
    </row>
    <row r="370" ht="15.75" customHeight="1">
      <c r="D370" s="47"/>
    </row>
    <row r="371" ht="15.75" customHeight="1">
      <c r="D371" s="47"/>
    </row>
    <row r="372" ht="15.75" customHeight="1">
      <c r="D372" s="47"/>
    </row>
    <row r="373" ht="15.75" customHeight="1">
      <c r="D373" s="47"/>
    </row>
    <row r="374" ht="15.75" customHeight="1">
      <c r="D374" s="47"/>
    </row>
    <row r="375" ht="15.75" customHeight="1">
      <c r="D375" s="47"/>
    </row>
    <row r="376" ht="15.75" customHeight="1">
      <c r="D376" s="47"/>
    </row>
    <row r="377" ht="15.75" customHeight="1">
      <c r="D377" s="47"/>
    </row>
    <row r="378" ht="15.75" customHeight="1">
      <c r="D378" s="47"/>
    </row>
    <row r="379" ht="15.75" customHeight="1">
      <c r="D379" s="47"/>
    </row>
    <row r="380" ht="15.75" customHeight="1">
      <c r="D380" s="47"/>
    </row>
    <row r="381" ht="15.75" customHeight="1">
      <c r="D381" s="47"/>
    </row>
    <row r="382" ht="15.75" customHeight="1">
      <c r="D382" s="47"/>
    </row>
    <row r="383" ht="15.75" customHeight="1">
      <c r="D383" s="47"/>
    </row>
    <row r="384" ht="15.75" customHeight="1">
      <c r="D384" s="47"/>
    </row>
    <row r="385" ht="15.75" customHeight="1">
      <c r="D385" s="47"/>
    </row>
    <row r="386" ht="15.75" customHeight="1">
      <c r="D386" s="47"/>
    </row>
    <row r="387" ht="15.75" customHeight="1">
      <c r="D387" s="47"/>
    </row>
    <row r="388" ht="15.75" customHeight="1">
      <c r="D388" s="47"/>
    </row>
    <row r="389" ht="15.75" customHeight="1">
      <c r="D389" s="47"/>
    </row>
    <row r="390" ht="15.75" customHeight="1">
      <c r="D390" s="47"/>
    </row>
    <row r="391" ht="15.75" customHeight="1">
      <c r="D391" s="47"/>
    </row>
    <row r="392" ht="15.75" customHeight="1">
      <c r="D392" s="47"/>
    </row>
    <row r="393" ht="15.75" customHeight="1">
      <c r="D393" s="47"/>
    </row>
    <row r="394" ht="15.75" customHeight="1">
      <c r="D394" s="47"/>
    </row>
    <row r="395" ht="15.75" customHeight="1">
      <c r="D395" s="47"/>
    </row>
    <row r="396" ht="15.75" customHeight="1">
      <c r="D396" s="47"/>
    </row>
    <row r="397" ht="15.75" customHeight="1">
      <c r="D397" s="47"/>
    </row>
    <row r="398" ht="15.75" customHeight="1">
      <c r="D398" s="47"/>
    </row>
    <row r="399" ht="15.75" customHeight="1">
      <c r="D399" s="47"/>
    </row>
    <row r="400" ht="15.75" customHeight="1">
      <c r="D400" s="47"/>
    </row>
    <row r="401" ht="15.75" customHeight="1">
      <c r="D401" s="47"/>
    </row>
    <row r="402" ht="15.75" customHeight="1">
      <c r="D402" s="47"/>
    </row>
    <row r="403" ht="15.75" customHeight="1">
      <c r="D403" s="47"/>
    </row>
    <row r="404" ht="15.75" customHeight="1">
      <c r="D404" s="47"/>
    </row>
    <row r="405" ht="15.75" customHeight="1">
      <c r="D405" s="47"/>
    </row>
    <row r="406" ht="15.75" customHeight="1">
      <c r="D406" s="47"/>
    </row>
    <row r="407" ht="15.75" customHeight="1">
      <c r="D407" s="47"/>
    </row>
    <row r="408" ht="15.75" customHeight="1">
      <c r="D408" s="47"/>
    </row>
    <row r="409" ht="15.75" customHeight="1">
      <c r="D409" s="47"/>
    </row>
    <row r="410" ht="15.75" customHeight="1">
      <c r="D410" s="47"/>
    </row>
    <row r="411" ht="15.75" customHeight="1">
      <c r="D411" s="47"/>
    </row>
    <row r="412" ht="15.75" customHeight="1">
      <c r="D412" s="47"/>
    </row>
    <row r="413" ht="15.75" customHeight="1">
      <c r="D413" s="47"/>
    </row>
    <row r="414" ht="15.75" customHeight="1">
      <c r="D414" s="47"/>
    </row>
    <row r="415" ht="15.75" customHeight="1">
      <c r="D415" s="47"/>
    </row>
    <row r="416" ht="15.75" customHeight="1">
      <c r="D416" s="47"/>
    </row>
    <row r="417" ht="15.75" customHeight="1">
      <c r="D417" s="47"/>
    </row>
    <row r="418" ht="15.75" customHeight="1">
      <c r="D418" s="47"/>
    </row>
    <row r="419" ht="15.75" customHeight="1">
      <c r="D419" s="47"/>
    </row>
    <row r="420" ht="15.75" customHeight="1">
      <c r="D420" s="47"/>
    </row>
    <row r="421" ht="15.75" customHeight="1">
      <c r="D421" s="47"/>
    </row>
    <row r="422" ht="15.75" customHeight="1">
      <c r="D422" s="47"/>
    </row>
    <row r="423" ht="15.75" customHeight="1">
      <c r="D423" s="47"/>
    </row>
    <row r="424" ht="15.75" customHeight="1">
      <c r="D424" s="47"/>
    </row>
    <row r="425" ht="15.75" customHeight="1">
      <c r="D425" s="47"/>
    </row>
    <row r="426" ht="15.75" customHeight="1">
      <c r="D426" s="47"/>
    </row>
    <row r="427" ht="15.75" customHeight="1">
      <c r="D427" s="47"/>
    </row>
    <row r="428" ht="15.75" customHeight="1">
      <c r="D428" s="47"/>
    </row>
    <row r="429" ht="15.75" customHeight="1">
      <c r="D429" s="47"/>
    </row>
    <row r="430" ht="15.75" customHeight="1">
      <c r="D430" s="47"/>
    </row>
    <row r="431" ht="15.75" customHeight="1">
      <c r="D431" s="47"/>
    </row>
    <row r="432" ht="15.75" customHeight="1">
      <c r="D432" s="47"/>
    </row>
    <row r="433" ht="15.75" customHeight="1">
      <c r="D433" s="47"/>
    </row>
    <row r="434" ht="15.75" customHeight="1">
      <c r="D434" s="47"/>
    </row>
    <row r="435" ht="15.75" customHeight="1">
      <c r="D435" s="47"/>
    </row>
    <row r="436" ht="15.75" customHeight="1">
      <c r="D436" s="47"/>
    </row>
    <row r="437" ht="15.75" customHeight="1">
      <c r="D437" s="47"/>
    </row>
    <row r="438" ht="15.75" customHeight="1">
      <c r="D438" s="47"/>
    </row>
    <row r="439" ht="15.75" customHeight="1">
      <c r="D439" s="47"/>
    </row>
    <row r="440" ht="15.75" customHeight="1">
      <c r="D440" s="47"/>
    </row>
    <row r="441" ht="15.75" customHeight="1">
      <c r="D441" s="47"/>
    </row>
    <row r="442" ht="15.75" customHeight="1">
      <c r="D442" s="47"/>
    </row>
    <row r="443" ht="15.75" customHeight="1">
      <c r="D443" s="47"/>
    </row>
    <row r="444" ht="15.75" customHeight="1">
      <c r="D444" s="47"/>
    </row>
    <row r="445" ht="15.75" customHeight="1">
      <c r="D445" s="47"/>
    </row>
    <row r="446" ht="15.75" customHeight="1">
      <c r="D446" s="47"/>
    </row>
    <row r="447" ht="15.75" customHeight="1">
      <c r="D447" s="47"/>
    </row>
    <row r="448" ht="15.75" customHeight="1">
      <c r="D448" s="47"/>
    </row>
    <row r="449" ht="15.75" customHeight="1">
      <c r="D449" s="47"/>
    </row>
    <row r="450" ht="15.75" customHeight="1">
      <c r="D450" s="47"/>
    </row>
    <row r="451" ht="15.75" customHeight="1">
      <c r="D451" s="47"/>
    </row>
    <row r="452" ht="15.75" customHeight="1">
      <c r="D452" s="47"/>
    </row>
    <row r="453" ht="15.75" customHeight="1">
      <c r="D453" s="47"/>
    </row>
    <row r="454" ht="15.75" customHeight="1">
      <c r="D454" s="47"/>
    </row>
    <row r="455" ht="15.75" customHeight="1">
      <c r="D455" s="47"/>
    </row>
    <row r="456" ht="15.75" customHeight="1">
      <c r="D456" s="47"/>
    </row>
    <row r="457" ht="15.75" customHeight="1">
      <c r="D457" s="47"/>
    </row>
    <row r="458" ht="15.75" customHeight="1">
      <c r="D458" s="47"/>
    </row>
    <row r="459" ht="15.75" customHeight="1">
      <c r="D459" s="47"/>
    </row>
    <row r="460" ht="15.75" customHeight="1">
      <c r="D460" s="47"/>
    </row>
    <row r="461" ht="15.75" customHeight="1">
      <c r="D461" s="47"/>
    </row>
    <row r="462" ht="15.75" customHeight="1">
      <c r="D462" s="47"/>
    </row>
    <row r="463" ht="15.75" customHeight="1">
      <c r="D463" s="47"/>
    </row>
    <row r="464" ht="15.75" customHeight="1">
      <c r="D464" s="47"/>
    </row>
    <row r="465" ht="15.75" customHeight="1">
      <c r="D465" s="47"/>
    </row>
    <row r="466" ht="15.75" customHeight="1">
      <c r="D466" s="47"/>
    </row>
    <row r="467" ht="15.75" customHeight="1">
      <c r="D467" s="47"/>
    </row>
    <row r="468" ht="15.75" customHeight="1">
      <c r="D468" s="47"/>
    </row>
    <row r="469" ht="15.75" customHeight="1">
      <c r="D469" s="47"/>
    </row>
    <row r="470" ht="15.75" customHeight="1">
      <c r="D470" s="47"/>
    </row>
    <row r="471" ht="15.75" customHeight="1">
      <c r="D471" s="47"/>
    </row>
    <row r="472" ht="15.75" customHeight="1">
      <c r="D472" s="47"/>
    </row>
    <row r="473" ht="15.75" customHeight="1">
      <c r="D473" s="47"/>
    </row>
    <row r="474" ht="15.75" customHeight="1">
      <c r="D474" s="47"/>
    </row>
    <row r="475" ht="15.75" customHeight="1">
      <c r="D475" s="47"/>
    </row>
    <row r="476" ht="15.75" customHeight="1">
      <c r="D476" s="47"/>
    </row>
    <row r="477" ht="15.75" customHeight="1">
      <c r="D477" s="47"/>
    </row>
    <row r="478" ht="15.75" customHeight="1">
      <c r="D478" s="47"/>
    </row>
    <row r="479" ht="15.75" customHeight="1">
      <c r="D479" s="47"/>
    </row>
    <row r="480" ht="15.75" customHeight="1">
      <c r="D480" s="47"/>
    </row>
    <row r="481" ht="15.75" customHeight="1">
      <c r="D481" s="47"/>
    </row>
    <row r="482" ht="15.75" customHeight="1">
      <c r="D482" s="47"/>
    </row>
    <row r="483" ht="15.75" customHeight="1">
      <c r="D483" s="47"/>
    </row>
    <row r="484" ht="15.75" customHeight="1">
      <c r="D484" s="47"/>
    </row>
    <row r="485" ht="15.75" customHeight="1">
      <c r="D485" s="47"/>
    </row>
    <row r="486" ht="15.75" customHeight="1">
      <c r="D486" s="47"/>
    </row>
    <row r="487" ht="15.75" customHeight="1">
      <c r="D487" s="47"/>
    </row>
    <row r="488" ht="15.75" customHeight="1">
      <c r="D488" s="47"/>
    </row>
    <row r="489" ht="15.75" customHeight="1">
      <c r="D489" s="47"/>
    </row>
    <row r="490" ht="15.75" customHeight="1">
      <c r="D490" s="47"/>
    </row>
    <row r="491" ht="15.75" customHeight="1">
      <c r="D491" s="47"/>
    </row>
    <row r="492" ht="15.75" customHeight="1">
      <c r="D492" s="47"/>
    </row>
    <row r="493" ht="15.75" customHeight="1">
      <c r="D493" s="47"/>
    </row>
    <row r="494" ht="15.75" customHeight="1">
      <c r="D494" s="47"/>
    </row>
    <row r="495" ht="15.75" customHeight="1">
      <c r="D495" s="47"/>
    </row>
    <row r="496" ht="15.75" customHeight="1">
      <c r="D496" s="47"/>
    </row>
    <row r="497" ht="15.75" customHeight="1">
      <c r="D497" s="47"/>
    </row>
    <row r="498" ht="15.75" customHeight="1">
      <c r="D498" s="47"/>
    </row>
    <row r="499" ht="15.75" customHeight="1">
      <c r="D499" s="47"/>
    </row>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autoFilter ref="A1:F18"/>
  <conditionalFormatting sqref="D2:D998">
    <cfRule type="expression" dxfId="1" priority="1">
      <formula>$D2="active"</formula>
    </cfRule>
  </conditionalFormatting>
  <conditionalFormatting sqref="D2:D998">
    <cfRule type="expression" dxfId="1" priority="2">
      <formula>$D2="completed"</formula>
    </cfRule>
  </conditionalFormatting>
  <conditionalFormatting sqref="D2:D998">
    <cfRule type="expression" dxfId="1" priority="3">
      <formula>$D2="paid"</formula>
    </cfRule>
  </conditionalFormatting>
  <conditionalFormatting sqref="D2:D998">
    <cfRule type="expression" dxfId="1" priority="4">
      <formula>$D2="present"</formula>
    </cfRule>
  </conditionalFormatting>
  <conditionalFormatting sqref="D2:D998">
    <cfRule type="expression" dxfId="2" priority="5">
      <formula>$D2="inactive"</formula>
    </cfRule>
  </conditionalFormatting>
  <conditionalFormatting sqref="D2:D998">
    <cfRule type="expression" dxfId="3" priority="6">
      <formula>$D2="absent"</formula>
    </cfRule>
  </conditionalFormatting>
  <conditionalFormatting sqref="D2:D998">
    <cfRule type="expression" dxfId="4" priority="7">
      <formula>$D2="late"</formula>
    </cfRule>
  </conditionalFormatting>
  <conditionalFormatting sqref="D2:D998">
    <cfRule type="expression" dxfId="4" priority="8">
      <formula>$D2="pending"</formula>
    </cfRule>
  </conditionalFormatting>
  <conditionalFormatting sqref="D2:D998">
    <cfRule type="expression" dxfId="3" priority="9">
      <formula>$D2="cancelled"</formula>
    </cfRule>
  </conditionalFormatting>
  <dataValidations>
    <dataValidation type="list" allowBlank="1" sqref="D2:D499">
      <formula1>DanhMuc!$E$2:$E$100</formula1>
    </dataValidation>
  </dataValidations>
  <printOptions/>
  <pageMargins bottom="0.75" footer="0.0" header="0.0" left="0.7" right="0.7" top="0.75"/>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59669"/>
    <pageSetUpPr/>
  </sheetPr>
  <sheetViews>
    <sheetView showGridLines="0" workbookViewId="0">
      <pane ySplit="1" topLeftCell="A2" activePane="bottomLeft" state="frozen"/>
      <selection pane="bottomLeft"/>
    </sheetView>
  </sheetViews>
  <sheetFormatPr customHeight="1" defaultColWidth="12.63" defaultRowHeight="15.0"/>
  <cols>
    <col min="1" max="1" width="12" customWidth="1"/>
    <col min="2" max="2" width="13" customWidth="1"/>
    <col min="3" max="3" width="10" customWidth="1"/>
    <col min="4" max="4" width="10" customWidth="1"/>
    <col min="5" max="5" width="10" customWidth="1"/>
    <col min="6" max="6" width="10" customWidth="1"/>
    <col min="7" max="7" width="14" customWidth="1"/>
    <col min="8" max="8" width="10" customWidth="1"/>
    <col min="9" max="9" width="22" customWidth="1"/>
    <col min="10" max="10" width="22" customWidth="1"/>
    <col min="11" max="11" width="11" customWidth="1"/>
    <col min="12" max="12" width="42" customWidth="1"/>
    <col min="13" max="13" width="21" customWidth="1"/>
    <col min="14" max="14" width="21" customWidth="1"/>
  </cols>
  <sheetData>
    <row r="1" ht="31.5" customHeight="1">
      <c r="A1" s="3" t="s">
        <v>531</v>
      </c>
      <c r="B1" s="3" t="s">
        <v>532</v>
      </c>
      <c r="C1" s="3" t="s">
        <v>127</v>
      </c>
      <c r="D1" s="3" t="s">
        <v>405</v>
      </c>
      <c r="E1" s="3" t="s">
        <v>533</v>
      </c>
      <c r="F1" s="3" t="s">
        <v>534</v>
      </c>
      <c r="G1" s="3" t="s">
        <v>535</v>
      </c>
      <c r="H1" s="3" t="s">
        <v>536</v>
      </c>
      <c r="I1" s="3" t="s">
        <v>537</v>
      </c>
      <c r="J1" s="3" t="s">
        <v>538</v>
      </c>
      <c r="K1" s="3" t="s">
        <v>140</v>
      </c>
      <c r="L1" s="3" t="s">
        <v>145</v>
      </c>
      <c r="M1" s="3" t="s">
        <v>146</v>
      </c>
      <c r="N1" s="3" t="s">
        <v>113</v>
      </c>
    </row>
    <row r="2" ht="22.5" customHeight="1">
      <c r="A2" s="29" t="inlineStr">
        <is>
          <t>PT-260628-HS019-5X6W</t>
        </is>
      </c>
      <c r="B2" s="33">
        <v>46199.0</v>
      </c>
      <c r="C2" s="28" t="inlineStr">
        <is>
          <t>HS019</t>
        </is>
      </c>
      <c r="D2" s="30" t="inlineStr">
        <is>
          <t>12B</t>
        </is>
      </c>
      <c r="E2" s="48">
        <v>6</v>
      </c>
      <c r="F2" s="48">
        <v>2026</v>
      </c>
      <c r="G2" s="49">
        <v>600000</v>
      </c>
      <c r="H2" s="29" t="inlineStr">
        <is>
          <t>cash</t>
        </is>
      </c>
      <c r="I2" s="29" t="inlineStr">
        <is>
          <t>Phan Thị Đan Thanh</t>
        </is>
      </c>
      <c r="J2" s="29" t="inlineStr">
        <is>
          <t>Lê Đức Nhân</t>
        </is>
      </c>
      <c r="K2" s="29" t="inlineStr">
        <is>
          <t>paid</t>
        </is>
      </c>
      <c r="L2" s="19"/>
      <c r="M2" s="33" t="s">
        <v>540</v>
      </c>
      <c r="N2" s="33" t="s">
        <v>540</v>
      </c>
    </row>
    <row r="3">
      <c r="A3" s="25"/>
      <c r="B3" s="26"/>
      <c r="C3" s="25"/>
      <c r="D3" s="25"/>
      <c r="E3" s="59"/>
      <c r="F3" s="59"/>
      <c r="G3" s="55"/>
      <c r="H3" s="25"/>
      <c r="I3" s="25"/>
      <c r="J3" s="25"/>
      <c r="K3" s="25"/>
      <c r="L3" s="25"/>
      <c r="M3" s="43"/>
      <c r="N3" s="43"/>
    </row>
    <row r="4">
      <c r="A4" s="23"/>
      <c r="B4" s="24"/>
      <c r="C4" s="23"/>
      <c r="D4" s="23"/>
      <c r="E4" s="60"/>
      <c r="F4" s="60"/>
      <c r="G4" s="54"/>
      <c r="H4" s="23"/>
      <c r="I4" s="23"/>
      <c r="J4" s="23"/>
      <c r="K4" s="23"/>
      <c r="L4" s="23"/>
      <c r="M4" s="45"/>
      <c r="N4" s="45"/>
    </row>
    <row r="5">
      <c r="A5" s="25"/>
      <c r="B5" s="26"/>
      <c r="C5" s="25"/>
      <c r="D5" s="25"/>
      <c r="E5" s="59"/>
      <c r="F5" s="59"/>
      <c r="G5" s="55"/>
      <c r="H5" s="25"/>
      <c r="I5" s="25"/>
      <c r="J5" s="25"/>
      <c r="K5" s="25"/>
      <c r="L5" s="25"/>
      <c r="M5" s="43"/>
      <c r="N5" s="43"/>
    </row>
    <row r="6">
      <c r="A6" s="23"/>
      <c r="B6" s="24"/>
      <c r="C6" s="23"/>
      <c r="D6" s="23"/>
      <c r="E6" s="60"/>
      <c r="F6" s="60"/>
      <c r="G6" s="54"/>
      <c r="H6" s="23"/>
      <c r="I6" s="23"/>
      <c r="J6" s="23"/>
      <c r="K6" s="23"/>
      <c r="L6" s="23"/>
      <c r="M6" s="45"/>
      <c r="N6" s="45"/>
    </row>
    <row r="7">
      <c r="A7" s="25"/>
      <c r="B7" s="26"/>
      <c r="C7" s="25"/>
      <c r="D7" s="25"/>
      <c r="E7" s="59"/>
      <c r="F7" s="59"/>
      <c r="G7" s="55"/>
      <c r="H7" s="25"/>
      <c r="I7" s="25"/>
      <c r="J7" s="25"/>
      <c r="K7" s="25"/>
      <c r="L7" s="25"/>
      <c r="M7" s="43"/>
      <c r="N7" s="43"/>
    </row>
    <row r="8">
      <c r="A8" s="23"/>
      <c r="B8" s="24"/>
      <c r="C8" s="23"/>
      <c r="D8" s="23"/>
      <c r="E8" s="60"/>
      <c r="F8" s="60"/>
      <c r="G8" s="54"/>
      <c r="H8" s="23"/>
      <c r="I8" s="23"/>
      <c r="J8" s="23"/>
      <c r="K8" s="23"/>
      <c r="L8" s="23"/>
      <c r="M8" s="45"/>
      <c r="N8" s="45"/>
    </row>
    <row r="9">
      <c r="A9" s="25"/>
      <c r="B9" s="26"/>
      <c r="C9" s="25"/>
      <c r="D9" s="25"/>
      <c r="E9" s="59"/>
      <c r="F9" s="59"/>
      <c r="G9" s="55"/>
      <c r="H9" s="25"/>
      <c r="I9" s="25"/>
      <c r="J9" s="25"/>
      <c r="K9" s="25"/>
      <c r="L9" s="25"/>
      <c r="M9" s="43"/>
      <c r="N9" s="43"/>
    </row>
    <row r="10">
      <c r="A10" s="23"/>
      <c r="B10" s="24"/>
      <c r="C10" s="23"/>
      <c r="D10" s="23"/>
      <c r="E10" s="60"/>
      <c r="F10" s="60"/>
      <c r="G10" s="54"/>
      <c r="H10" s="23"/>
      <c r="I10" s="23"/>
      <c r="J10" s="23"/>
      <c r="K10" s="23"/>
      <c r="L10" s="23"/>
      <c r="M10" s="45"/>
      <c r="N10" s="45"/>
    </row>
    <row r="11">
      <c r="A11" s="25"/>
      <c r="B11" s="26"/>
      <c r="C11" s="25"/>
      <c r="D11" s="25"/>
      <c r="E11" s="59"/>
      <c r="F11" s="59"/>
      <c r="G11" s="55"/>
      <c r="H11" s="25"/>
      <c r="I11" s="25"/>
      <c r="J11" s="25"/>
      <c r="K11" s="25"/>
      <c r="L11" s="25"/>
      <c r="M11" s="43"/>
      <c r="N11" s="43"/>
    </row>
    <row r="12">
      <c r="A12" s="23"/>
      <c r="B12" s="24"/>
      <c r="C12" s="23"/>
      <c r="D12" s="23"/>
      <c r="E12" s="60"/>
      <c r="F12" s="60"/>
      <c r="G12" s="54"/>
      <c r="H12" s="23"/>
      <c r="I12" s="23"/>
      <c r="J12" s="23"/>
      <c r="K12" s="23"/>
      <c r="L12" s="23"/>
      <c r="M12" s="45"/>
      <c r="N12" s="45"/>
    </row>
    <row r="13">
      <c r="A13" s="25"/>
      <c r="B13" s="26"/>
      <c r="C13" s="25"/>
      <c r="D13" s="25"/>
      <c r="E13" s="59"/>
      <c r="F13" s="59"/>
      <c r="G13" s="55"/>
      <c r="H13" s="25"/>
      <c r="I13" s="25"/>
      <c r="J13" s="25"/>
      <c r="K13" s="25"/>
      <c r="L13" s="25"/>
      <c r="M13" s="43"/>
      <c r="N13" s="43"/>
    </row>
    <row r="14">
      <c r="A14" s="23"/>
      <c r="B14" s="24"/>
      <c r="C14" s="23"/>
      <c r="D14" s="23"/>
      <c r="E14" s="60"/>
      <c r="F14" s="60"/>
      <c r="G14" s="54"/>
      <c r="H14" s="23"/>
      <c r="I14" s="23"/>
      <c r="J14" s="23"/>
      <c r="K14" s="23"/>
      <c r="L14" s="23"/>
      <c r="M14" s="45"/>
      <c r="N14" s="45"/>
    </row>
    <row r="15">
      <c r="A15" s="25"/>
      <c r="B15" s="26"/>
      <c r="C15" s="25"/>
      <c r="D15" s="25"/>
      <c r="E15" s="59"/>
      <c r="F15" s="59"/>
      <c r="G15" s="55"/>
      <c r="H15" s="25"/>
      <c r="I15" s="25"/>
      <c r="J15" s="25"/>
      <c r="K15" s="25"/>
      <c r="L15" s="25"/>
      <c r="M15" s="43"/>
      <c r="N15" s="43"/>
    </row>
    <row r="16">
      <c r="A16" s="23"/>
      <c r="B16" s="24"/>
      <c r="C16" s="23"/>
      <c r="D16" s="23"/>
      <c r="E16" s="60"/>
      <c r="F16" s="60"/>
      <c r="G16" s="54"/>
      <c r="H16" s="23"/>
      <c r="I16" s="23"/>
      <c r="J16" s="23"/>
      <c r="K16" s="23"/>
      <c r="L16" s="23"/>
      <c r="M16" s="45"/>
      <c r="N16" s="45"/>
    </row>
    <row r="17">
      <c r="A17" s="25"/>
      <c r="B17" s="26"/>
      <c r="C17" s="25"/>
      <c r="D17" s="25"/>
      <c r="E17" s="59"/>
      <c r="F17" s="59"/>
      <c r="G17" s="55"/>
      <c r="H17" s="25"/>
      <c r="I17" s="25"/>
      <c r="J17" s="25"/>
      <c r="K17" s="25"/>
      <c r="L17" s="25"/>
      <c r="M17" s="43"/>
      <c r="N17" s="43"/>
    </row>
    <row r="18">
      <c r="A18" s="23"/>
      <c r="B18" s="24"/>
      <c r="C18" s="23"/>
      <c r="D18" s="23"/>
      <c r="E18" s="60"/>
      <c r="F18" s="60"/>
      <c r="G18" s="54"/>
      <c r="H18" s="23"/>
      <c r="I18" s="23"/>
      <c r="J18" s="23"/>
      <c r="K18" s="23"/>
      <c r="L18" s="23"/>
      <c r="M18" s="45"/>
      <c r="N18" s="45"/>
    </row>
    <row r="19">
      <c r="A19" s="25"/>
      <c r="B19" s="26"/>
      <c r="C19" s="25"/>
      <c r="D19" s="25"/>
      <c r="E19" s="59"/>
      <c r="F19" s="59"/>
      <c r="G19" s="55"/>
      <c r="H19" s="25"/>
      <c r="I19" s="25"/>
      <c r="J19" s="25"/>
      <c r="K19" s="25"/>
      <c r="L19" s="25"/>
      <c r="M19" s="43"/>
      <c r="N19" s="43"/>
    </row>
    <row r="20" ht="15.75" customHeight="1">
      <c r="A20" s="23"/>
      <c r="B20" s="24"/>
      <c r="C20" s="23"/>
      <c r="D20" s="23"/>
      <c r="E20" s="60"/>
      <c r="F20" s="60"/>
      <c r="G20" s="54"/>
      <c r="H20" s="23"/>
      <c r="I20" s="23"/>
      <c r="J20" s="23"/>
      <c r="K20" s="23"/>
      <c r="L20" s="23"/>
      <c r="M20" s="45"/>
      <c r="N20" s="45"/>
    </row>
    <row r="21" ht="15.75" customHeight="1">
      <c r="A21" s="25"/>
      <c r="B21" s="26"/>
      <c r="C21" s="25"/>
      <c r="D21" s="25"/>
      <c r="E21" s="59"/>
      <c r="F21" s="59"/>
      <c r="G21" s="55"/>
      <c r="H21" s="25"/>
      <c r="I21" s="25"/>
      <c r="J21" s="25"/>
      <c r="K21" s="25"/>
      <c r="L21" s="25"/>
      <c r="M21" s="43"/>
      <c r="N21" s="43"/>
    </row>
    <row r="22" ht="15.75" customHeight="1">
      <c r="A22" s="23"/>
      <c r="B22" s="24"/>
      <c r="C22" s="23"/>
      <c r="D22" s="23"/>
      <c r="E22" s="60"/>
      <c r="F22" s="60"/>
      <c r="G22" s="54"/>
      <c r="H22" s="23"/>
      <c r="I22" s="23"/>
      <c r="J22" s="23"/>
      <c r="K22" s="23"/>
      <c r="L22" s="23"/>
      <c r="M22" s="45"/>
      <c r="N22" s="45"/>
    </row>
    <row r="23" ht="15.75" customHeight="1">
      <c r="A23" s="25"/>
      <c r="B23" s="26"/>
      <c r="C23" s="25"/>
      <c r="D23" s="25"/>
      <c r="E23" s="59"/>
      <c r="F23" s="59"/>
      <c r="G23" s="55"/>
      <c r="H23" s="25"/>
      <c r="I23" s="25"/>
      <c r="J23" s="25"/>
      <c r="K23" s="25"/>
      <c r="L23" s="25"/>
      <c r="M23" s="43"/>
      <c r="N23" s="43"/>
    </row>
    <row r="24" ht="15.75" customHeight="1">
      <c r="A24" s="23"/>
      <c r="B24" s="24"/>
      <c r="C24" s="23"/>
      <c r="D24" s="23"/>
      <c r="E24" s="60"/>
      <c r="F24" s="60"/>
      <c r="G24" s="54"/>
      <c r="H24" s="23"/>
      <c r="I24" s="23"/>
      <c r="J24" s="23"/>
      <c r="K24" s="23"/>
      <c r="L24" s="23"/>
      <c r="M24" s="45"/>
      <c r="N24" s="45"/>
    </row>
    <row r="25" ht="15.75" customHeight="1">
      <c r="A25" s="25"/>
      <c r="B25" s="26"/>
      <c r="C25" s="25"/>
      <c r="D25" s="25"/>
      <c r="E25" s="59"/>
      <c r="F25" s="59"/>
      <c r="G25" s="55"/>
      <c r="H25" s="25"/>
      <c r="I25" s="25"/>
      <c r="J25" s="25"/>
      <c r="K25" s="25"/>
      <c r="L25" s="25"/>
      <c r="M25" s="43"/>
      <c r="N25" s="43"/>
    </row>
    <row r="26" ht="15.75" customHeight="1">
      <c r="A26" s="23"/>
      <c r="B26" s="24"/>
      <c r="C26" s="23"/>
      <c r="D26" s="23"/>
      <c r="E26" s="60"/>
      <c r="F26" s="60"/>
      <c r="G26" s="54"/>
      <c r="H26" s="23"/>
      <c r="I26" s="23"/>
      <c r="J26" s="23"/>
      <c r="K26" s="23"/>
      <c r="L26" s="23"/>
      <c r="M26" s="45"/>
      <c r="N26" s="45"/>
    </row>
    <row r="27" ht="15.75" customHeight="1">
      <c r="A27" s="25"/>
      <c r="B27" s="26"/>
      <c r="C27" s="25"/>
      <c r="D27" s="25"/>
      <c r="E27" s="59"/>
      <c r="F27" s="59"/>
      <c r="G27" s="55"/>
      <c r="H27" s="25"/>
      <c r="I27" s="25"/>
      <c r="J27" s="25"/>
      <c r="K27" s="25"/>
      <c r="L27" s="25"/>
      <c r="M27" s="43"/>
      <c r="N27" s="43"/>
    </row>
    <row r="28" ht="15.75" customHeight="1">
      <c r="A28" s="23"/>
      <c r="B28" s="24"/>
      <c r="C28" s="23"/>
      <c r="D28" s="23"/>
      <c r="E28" s="60"/>
      <c r="F28" s="60"/>
      <c r="G28" s="54"/>
      <c r="H28" s="23"/>
      <c r="I28" s="23"/>
      <c r="J28" s="23"/>
      <c r="K28" s="23"/>
      <c r="L28" s="23"/>
      <c r="M28" s="45"/>
      <c r="N28" s="45"/>
    </row>
    <row r="29" ht="15.75" customHeight="1">
      <c r="A29" s="25"/>
      <c r="B29" s="26"/>
      <c r="C29" s="25"/>
      <c r="D29" s="25"/>
      <c r="E29" s="59"/>
      <c r="F29" s="59"/>
      <c r="G29" s="55"/>
      <c r="H29" s="25"/>
      <c r="I29" s="25"/>
      <c r="J29" s="25"/>
      <c r="K29" s="25"/>
      <c r="L29" s="25"/>
      <c r="M29" s="43"/>
      <c r="N29" s="43"/>
    </row>
    <row r="30" ht="15.75" customHeight="1">
      <c r="A30" s="23"/>
      <c r="B30" s="24"/>
      <c r="C30" s="23"/>
      <c r="D30" s="23"/>
      <c r="E30" s="60"/>
      <c r="F30" s="60"/>
      <c r="G30" s="54"/>
      <c r="H30" s="23"/>
      <c r="I30" s="23"/>
      <c r="J30" s="23"/>
      <c r="K30" s="23"/>
      <c r="L30" s="23"/>
      <c r="M30" s="45"/>
      <c r="N30" s="45"/>
    </row>
    <row r="31" ht="15.75" customHeight="1">
      <c r="A31" s="25"/>
      <c r="B31" s="26"/>
      <c r="C31" s="25"/>
      <c r="D31" s="25"/>
      <c r="E31" s="59"/>
      <c r="F31" s="59"/>
      <c r="G31" s="55"/>
      <c r="H31" s="25"/>
      <c r="I31" s="25"/>
      <c r="J31" s="25"/>
      <c r="K31" s="25"/>
      <c r="L31" s="25"/>
      <c r="M31" s="43"/>
      <c r="N31" s="43"/>
    </row>
    <row r="32" ht="15.75" customHeight="1">
      <c r="A32" s="23"/>
      <c r="B32" s="24"/>
      <c r="C32" s="23"/>
      <c r="D32" s="23"/>
      <c r="E32" s="60"/>
      <c r="F32" s="60"/>
      <c r="G32" s="54"/>
      <c r="H32" s="23"/>
      <c r="I32" s="23"/>
      <c r="J32" s="23"/>
      <c r="K32" s="23"/>
      <c r="L32" s="23"/>
      <c r="M32" s="45"/>
      <c r="N32" s="45"/>
    </row>
    <row r="33" ht="15.75" customHeight="1">
      <c r="A33" s="25"/>
      <c r="B33" s="26"/>
      <c r="C33" s="25"/>
      <c r="D33" s="25"/>
      <c r="E33" s="59"/>
      <c r="F33" s="59"/>
      <c r="G33" s="55"/>
      <c r="H33" s="25"/>
      <c r="I33" s="25"/>
      <c r="J33" s="25"/>
      <c r="K33" s="25"/>
      <c r="L33" s="25"/>
      <c r="M33" s="43"/>
      <c r="N33" s="43"/>
    </row>
    <row r="34" ht="15.75" customHeight="1">
      <c r="A34" s="23"/>
      <c r="B34" s="24"/>
      <c r="C34" s="23"/>
      <c r="D34" s="23"/>
      <c r="E34" s="60"/>
      <c r="F34" s="60"/>
      <c r="G34" s="54"/>
      <c r="H34" s="23"/>
      <c r="I34" s="23"/>
      <c r="J34" s="23"/>
      <c r="K34" s="23"/>
      <c r="L34" s="23"/>
      <c r="M34" s="45"/>
      <c r="N34" s="45"/>
    </row>
    <row r="35" ht="15.75" customHeight="1">
      <c r="A35" s="25"/>
      <c r="B35" s="26"/>
      <c r="C35" s="25"/>
      <c r="D35" s="25"/>
      <c r="E35" s="59"/>
      <c r="F35" s="59"/>
      <c r="G35" s="55"/>
      <c r="H35" s="25"/>
      <c r="I35" s="25"/>
      <c r="J35" s="25"/>
      <c r="K35" s="25"/>
      <c r="L35" s="25"/>
      <c r="M35" s="43"/>
      <c r="N35" s="43"/>
    </row>
    <row r="36" ht="15.75" customHeight="1">
      <c r="A36" s="23"/>
      <c r="B36" s="24"/>
      <c r="C36" s="23"/>
      <c r="D36" s="23"/>
      <c r="E36" s="60"/>
      <c r="F36" s="60"/>
      <c r="G36" s="54"/>
      <c r="H36" s="23"/>
      <c r="I36" s="23"/>
      <c r="J36" s="23"/>
      <c r="K36" s="23"/>
      <c r="L36" s="23"/>
      <c r="M36" s="45"/>
      <c r="N36" s="45"/>
    </row>
    <row r="37" ht="15.75" customHeight="1">
      <c r="A37" s="25"/>
      <c r="B37" s="26"/>
      <c r="C37" s="25"/>
      <c r="D37" s="25"/>
      <c r="E37" s="59"/>
      <c r="F37" s="59"/>
      <c r="G37" s="55"/>
      <c r="H37" s="25"/>
      <c r="I37" s="25"/>
      <c r="J37" s="25"/>
      <c r="K37" s="25"/>
      <c r="L37" s="25"/>
      <c r="M37" s="43"/>
      <c r="N37" s="43"/>
    </row>
    <row r="38" ht="15.75" customHeight="1">
      <c r="A38" s="23"/>
      <c r="B38" s="24"/>
      <c r="C38" s="23"/>
      <c r="D38" s="23"/>
      <c r="E38" s="60"/>
      <c r="F38" s="60"/>
      <c r="G38" s="54"/>
      <c r="H38" s="23"/>
      <c r="I38" s="23"/>
      <c r="J38" s="23"/>
      <c r="K38" s="23"/>
      <c r="L38" s="23"/>
      <c r="M38" s="45"/>
      <c r="N38" s="45"/>
    </row>
    <row r="39" ht="15.75" customHeight="1">
      <c r="A39" s="25"/>
      <c r="B39" s="26"/>
      <c r="C39" s="25"/>
      <c r="D39" s="25"/>
      <c r="E39" s="59"/>
      <c r="F39" s="59"/>
      <c r="G39" s="55"/>
      <c r="H39" s="25"/>
      <c r="I39" s="25"/>
      <c r="J39" s="25"/>
      <c r="K39" s="25"/>
      <c r="L39" s="25"/>
      <c r="M39" s="43"/>
      <c r="N39" s="43"/>
    </row>
    <row r="40" ht="15.75" customHeight="1">
      <c r="A40" s="23"/>
      <c r="B40" s="24"/>
      <c r="C40" s="23"/>
      <c r="D40" s="23"/>
      <c r="E40" s="60"/>
      <c r="F40" s="60"/>
      <c r="G40" s="54"/>
      <c r="H40" s="23"/>
      <c r="I40" s="23"/>
      <c r="J40" s="23"/>
      <c r="K40" s="23"/>
      <c r="L40" s="23"/>
      <c r="M40" s="45"/>
      <c r="N40" s="45"/>
    </row>
    <row r="41" ht="15.75" customHeight="1">
      <c r="A41" s="25"/>
      <c r="B41" s="26"/>
      <c r="C41" s="25"/>
      <c r="D41" s="25"/>
      <c r="E41" s="59"/>
      <c r="F41" s="59"/>
      <c r="G41" s="55"/>
      <c r="H41" s="25"/>
      <c r="I41" s="25"/>
      <c r="J41" s="25"/>
      <c r="K41" s="25"/>
      <c r="L41" s="25"/>
      <c r="M41" s="43"/>
      <c r="N41" s="43"/>
    </row>
    <row r="42" ht="15.75" customHeight="1">
      <c r="A42" s="23"/>
      <c r="B42" s="24"/>
      <c r="C42" s="23"/>
      <c r="D42" s="23"/>
      <c r="E42" s="60"/>
      <c r="F42" s="60"/>
      <c r="G42" s="54"/>
      <c r="H42" s="23"/>
      <c r="I42" s="23"/>
      <c r="J42" s="23"/>
      <c r="K42" s="23"/>
      <c r="L42" s="23"/>
      <c r="M42" s="45"/>
      <c r="N42" s="45"/>
    </row>
    <row r="43" ht="15.75" customHeight="1">
      <c r="A43" s="25"/>
      <c r="B43" s="26"/>
      <c r="C43" s="25"/>
      <c r="D43" s="25"/>
      <c r="E43" s="59"/>
      <c r="F43" s="59"/>
      <c r="G43" s="55"/>
      <c r="H43" s="25"/>
      <c r="I43" s="25"/>
      <c r="J43" s="25"/>
      <c r="K43" s="25"/>
      <c r="L43" s="25"/>
      <c r="M43" s="43"/>
      <c r="N43" s="43"/>
    </row>
    <row r="44" ht="15.75" customHeight="1">
      <c r="A44" s="23"/>
      <c r="B44" s="24"/>
      <c r="C44" s="23"/>
      <c r="D44" s="23"/>
      <c r="E44" s="60"/>
      <c r="F44" s="60"/>
      <c r="G44" s="54"/>
      <c r="H44" s="23"/>
      <c r="I44" s="23"/>
      <c r="J44" s="23"/>
      <c r="K44" s="23"/>
      <c r="L44" s="23"/>
      <c r="M44" s="45"/>
      <c r="N44" s="45"/>
    </row>
    <row r="45" ht="15.75" customHeight="1">
      <c r="A45" s="25"/>
      <c r="B45" s="26"/>
      <c r="C45" s="25"/>
      <c r="D45" s="25"/>
      <c r="E45" s="59"/>
      <c r="F45" s="59"/>
      <c r="G45" s="55"/>
      <c r="H45" s="25"/>
      <c r="I45" s="25"/>
      <c r="J45" s="25"/>
      <c r="K45" s="25"/>
      <c r="L45" s="25"/>
      <c r="M45" s="43"/>
      <c r="N45" s="43"/>
    </row>
    <row r="46" ht="15.75" customHeight="1">
      <c r="A46" s="23"/>
      <c r="B46" s="24"/>
      <c r="C46" s="23"/>
      <c r="D46" s="23"/>
      <c r="E46" s="60"/>
      <c r="F46" s="60"/>
      <c r="G46" s="54"/>
      <c r="H46" s="23"/>
      <c r="I46" s="23"/>
      <c r="J46" s="23"/>
      <c r="K46" s="23"/>
      <c r="L46" s="23"/>
      <c r="M46" s="45"/>
      <c r="N46" s="45"/>
    </row>
    <row r="47" ht="15.75" customHeight="1">
      <c r="A47" s="25"/>
      <c r="B47" s="26"/>
      <c r="C47" s="25"/>
      <c r="D47" s="25"/>
      <c r="E47" s="59"/>
      <c r="F47" s="59"/>
      <c r="G47" s="55"/>
      <c r="H47" s="25"/>
      <c r="I47" s="25"/>
      <c r="J47" s="25"/>
      <c r="K47" s="25"/>
      <c r="L47" s="25"/>
      <c r="M47" s="43"/>
      <c r="N47" s="43"/>
    </row>
    <row r="48" ht="15.75" customHeight="1">
      <c r="A48" s="23"/>
      <c r="B48" s="24"/>
      <c r="C48" s="23"/>
      <c r="D48" s="23"/>
      <c r="E48" s="60"/>
      <c r="F48" s="60"/>
      <c r="G48" s="54"/>
      <c r="H48" s="23"/>
      <c r="I48" s="23"/>
      <c r="J48" s="23"/>
      <c r="K48" s="23"/>
      <c r="L48" s="23"/>
      <c r="M48" s="45"/>
      <c r="N48" s="45"/>
    </row>
    <row r="49" ht="15.75" customHeight="1">
      <c r="A49" s="25"/>
      <c r="B49" s="26"/>
      <c r="C49" s="25"/>
      <c r="D49" s="25"/>
      <c r="E49" s="59"/>
      <c r="F49" s="59"/>
      <c r="G49" s="55"/>
      <c r="H49" s="25"/>
      <c r="I49" s="25"/>
      <c r="J49" s="25"/>
      <c r="K49" s="25"/>
      <c r="L49" s="25"/>
      <c r="M49" s="43"/>
      <c r="N49" s="43"/>
    </row>
    <row r="50" ht="15.75" customHeight="1">
      <c r="A50" s="23"/>
      <c r="B50" s="24"/>
      <c r="C50" s="23"/>
      <c r="D50" s="23"/>
      <c r="E50" s="60"/>
      <c r="F50" s="60"/>
      <c r="G50" s="54"/>
      <c r="H50" s="23"/>
      <c r="I50" s="23"/>
      <c r="J50" s="23"/>
      <c r="K50" s="23"/>
      <c r="L50" s="23"/>
      <c r="M50" s="45"/>
      <c r="N50" s="45"/>
    </row>
    <row r="51" ht="15.75" customHeight="1">
      <c r="A51" s="25"/>
      <c r="B51" s="26"/>
      <c r="C51" s="25"/>
      <c r="D51" s="25"/>
      <c r="E51" s="59"/>
      <c r="F51" s="59"/>
      <c r="G51" s="55"/>
      <c r="H51" s="25"/>
      <c r="I51" s="25"/>
      <c r="J51" s="25"/>
      <c r="K51" s="25"/>
      <c r="L51" s="25"/>
      <c r="M51" s="43"/>
      <c r="N51" s="43"/>
    </row>
    <row r="52" ht="15.75" customHeight="1">
      <c r="A52" s="23"/>
      <c r="B52" s="24"/>
      <c r="C52" s="23"/>
      <c r="D52" s="23"/>
      <c r="E52" s="60"/>
      <c r="F52" s="60"/>
      <c r="G52" s="54"/>
      <c r="H52" s="23"/>
      <c r="I52" s="23"/>
      <c r="J52" s="23"/>
      <c r="K52" s="23"/>
      <c r="L52" s="23"/>
      <c r="M52" s="45"/>
      <c r="N52" s="45"/>
    </row>
    <row r="53" ht="15.75" customHeight="1">
      <c r="A53" s="25"/>
      <c r="B53" s="26"/>
      <c r="C53" s="25"/>
      <c r="D53" s="25"/>
      <c r="E53" s="59"/>
      <c r="F53" s="59"/>
      <c r="G53" s="55"/>
      <c r="H53" s="25"/>
      <c r="I53" s="25"/>
      <c r="J53" s="25"/>
      <c r="K53" s="25"/>
      <c r="L53" s="25"/>
      <c r="M53" s="43"/>
      <c r="N53" s="43"/>
    </row>
    <row r="54" ht="15.75" customHeight="1">
      <c r="A54" s="23"/>
      <c r="B54" s="24"/>
      <c r="C54" s="23"/>
      <c r="D54" s="23"/>
      <c r="E54" s="60"/>
      <c r="F54" s="60"/>
      <c r="G54" s="54"/>
      <c r="H54" s="23"/>
      <c r="I54" s="23"/>
      <c r="J54" s="23"/>
      <c r="K54" s="23"/>
      <c r="L54" s="23"/>
      <c r="M54" s="45"/>
      <c r="N54" s="45"/>
    </row>
    <row r="55" ht="15.75" customHeight="1">
      <c r="A55" s="25"/>
      <c r="B55" s="26"/>
      <c r="C55" s="25"/>
      <c r="D55" s="25"/>
      <c r="E55" s="59"/>
      <c r="F55" s="59"/>
      <c r="G55" s="55"/>
      <c r="H55" s="25"/>
      <c r="I55" s="25"/>
      <c r="J55" s="25"/>
      <c r="K55" s="25"/>
      <c r="L55" s="25"/>
      <c r="M55" s="43"/>
      <c r="N55" s="43"/>
    </row>
    <row r="56" ht="15.75" customHeight="1">
      <c r="A56" s="23"/>
      <c r="B56" s="24"/>
      <c r="C56" s="23"/>
      <c r="D56" s="23"/>
      <c r="E56" s="60"/>
      <c r="F56" s="60"/>
      <c r="G56" s="54"/>
      <c r="H56" s="23"/>
      <c r="I56" s="23"/>
      <c r="J56" s="23"/>
      <c r="K56" s="23"/>
      <c r="L56" s="23"/>
      <c r="M56" s="45"/>
      <c r="N56" s="45"/>
    </row>
    <row r="57" ht="15.75" customHeight="1">
      <c r="A57" s="25"/>
      <c r="B57" s="26"/>
      <c r="C57" s="25"/>
      <c r="D57" s="25"/>
      <c r="E57" s="59"/>
      <c r="F57" s="59"/>
      <c r="G57" s="55"/>
      <c r="H57" s="25"/>
      <c r="I57" s="25"/>
      <c r="J57" s="25"/>
      <c r="K57" s="25"/>
      <c r="L57" s="25"/>
      <c r="M57" s="43"/>
      <c r="N57" s="43"/>
    </row>
    <row r="58" ht="15.75" customHeight="1">
      <c r="A58" s="23"/>
      <c r="B58" s="24"/>
      <c r="C58" s="23"/>
      <c r="D58" s="23"/>
      <c r="E58" s="60"/>
      <c r="F58" s="60"/>
      <c r="G58" s="54"/>
      <c r="H58" s="23"/>
      <c r="I58" s="23"/>
      <c r="J58" s="23"/>
      <c r="K58" s="23"/>
      <c r="L58" s="23"/>
      <c r="M58" s="45"/>
      <c r="N58" s="45"/>
    </row>
    <row r="59" ht="15.75" customHeight="1">
      <c r="A59" s="25"/>
      <c r="B59" s="26"/>
      <c r="C59" s="25"/>
      <c r="D59" s="25"/>
      <c r="E59" s="59"/>
      <c r="F59" s="59"/>
      <c r="G59" s="55"/>
      <c r="H59" s="25"/>
      <c r="I59" s="25"/>
      <c r="J59" s="25"/>
      <c r="K59" s="25"/>
      <c r="L59" s="25"/>
      <c r="M59" s="43"/>
      <c r="N59" s="43"/>
    </row>
    <row r="60" ht="15.75" customHeight="1">
      <c r="A60" s="23"/>
      <c r="B60" s="24"/>
      <c r="C60" s="23"/>
      <c r="D60" s="23"/>
      <c r="E60" s="60"/>
      <c r="F60" s="60"/>
      <c r="G60" s="54"/>
      <c r="H60" s="23"/>
      <c r="I60" s="23"/>
      <c r="J60" s="23"/>
      <c r="K60" s="23"/>
      <c r="L60" s="23"/>
      <c r="M60" s="45"/>
      <c r="N60" s="45"/>
    </row>
    <row r="61" ht="15.75" customHeight="1">
      <c r="A61" s="25"/>
      <c r="B61" s="26"/>
      <c r="C61" s="25"/>
      <c r="D61" s="25"/>
      <c r="E61" s="59"/>
      <c r="F61" s="59"/>
      <c r="G61" s="55"/>
      <c r="H61" s="25"/>
      <c r="I61" s="25"/>
      <c r="J61" s="25"/>
      <c r="K61" s="25"/>
      <c r="L61" s="25"/>
      <c r="M61" s="43"/>
      <c r="N61" s="43"/>
    </row>
    <row r="62" ht="15.75" customHeight="1">
      <c r="A62" s="23"/>
      <c r="B62" s="24"/>
      <c r="C62" s="23"/>
      <c r="D62" s="23"/>
      <c r="E62" s="60"/>
      <c r="F62" s="60"/>
      <c r="G62" s="54"/>
      <c r="H62" s="23"/>
      <c r="I62" s="23"/>
      <c r="J62" s="23"/>
      <c r="K62" s="23"/>
      <c r="L62" s="23"/>
      <c r="M62" s="45"/>
      <c r="N62" s="45"/>
    </row>
    <row r="63" ht="15.75" customHeight="1">
      <c r="A63" s="25"/>
      <c r="B63" s="26"/>
      <c r="C63" s="25"/>
      <c r="D63" s="25"/>
      <c r="E63" s="59"/>
      <c r="F63" s="59"/>
      <c r="G63" s="55"/>
      <c r="H63" s="25"/>
      <c r="I63" s="25"/>
      <c r="J63" s="25"/>
      <c r="K63" s="25"/>
      <c r="L63" s="25"/>
      <c r="M63" s="43"/>
      <c r="N63" s="43"/>
    </row>
    <row r="64" ht="15.75" customHeight="1">
      <c r="A64" s="23"/>
      <c r="B64" s="24"/>
      <c r="C64" s="23"/>
      <c r="D64" s="23"/>
      <c r="E64" s="60"/>
      <c r="F64" s="60"/>
      <c r="G64" s="54"/>
      <c r="H64" s="23"/>
      <c r="I64" s="23"/>
      <c r="J64" s="23"/>
      <c r="K64" s="23"/>
      <c r="L64" s="23"/>
      <c r="M64" s="45"/>
      <c r="N64" s="45"/>
    </row>
    <row r="65" ht="15.75" customHeight="1">
      <c r="A65" s="25"/>
      <c r="B65" s="26"/>
      <c r="C65" s="25"/>
      <c r="D65" s="25"/>
      <c r="E65" s="59"/>
      <c r="F65" s="59"/>
      <c r="G65" s="55"/>
      <c r="H65" s="25"/>
      <c r="I65" s="25"/>
      <c r="J65" s="25"/>
      <c r="K65" s="25"/>
      <c r="L65" s="25"/>
      <c r="M65" s="43"/>
      <c r="N65" s="43"/>
    </row>
    <row r="66" ht="15.75" customHeight="1">
      <c r="A66" s="23"/>
      <c r="B66" s="24"/>
      <c r="C66" s="23"/>
      <c r="D66" s="23"/>
      <c r="E66" s="60"/>
      <c r="F66" s="60"/>
      <c r="G66" s="54"/>
      <c r="H66" s="23"/>
      <c r="I66" s="23"/>
      <c r="J66" s="23"/>
      <c r="K66" s="23"/>
      <c r="L66" s="23"/>
      <c r="M66" s="45"/>
      <c r="N66" s="45"/>
    </row>
    <row r="67" ht="15.75" customHeight="1">
      <c r="A67" s="25"/>
      <c r="B67" s="26"/>
      <c r="C67" s="25"/>
      <c r="D67" s="25"/>
      <c r="E67" s="59"/>
      <c r="F67" s="59"/>
      <c r="G67" s="55"/>
      <c r="H67" s="25"/>
      <c r="I67" s="25"/>
      <c r="J67" s="25"/>
      <c r="K67" s="25"/>
      <c r="L67" s="25"/>
      <c r="M67" s="43"/>
      <c r="N67" s="43"/>
    </row>
    <row r="68" ht="15.75" customHeight="1">
      <c r="A68" s="23"/>
      <c r="B68" s="24"/>
      <c r="C68" s="23"/>
      <c r="D68" s="23"/>
      <c r="E68" s="60"/>
      <c r="F68" s="60"/>
      <c r="G68" s="54"/>
      <c r="H68" s="23"/>
      <c r="I68" s="23"/>
      <c r="J68" s="23"/>
      <c r="K68" s="23"/>
      <c r="L68" s="23"/>
      <c r="M68" s="45"/>
      <c r="N68" s="45"/>
    </row>
    <row r="69" ht="15.75" customHeight="1">
      <c r="A69" s="25"/>
      <c r="B69" s="26"/>
      <c r="C69" s="25"/>
      <c r="D69" s="25"/>
      <c r="E69" s="59"/>
      <c r="F69" s="59"/>
      <c r="G69" s="55"/>
      <c r="H69" s="25"/>
      <c r="I69" s="25"/>
      <c r="J69" s="25"/>
      <c r="K69" s="25"/>
      <c r="L69" s="25"/>
      <c r="M69" s="43"/>
      <c r="N69" s="43"/>
    </row>
    <row r="70" ht="15.75" customHeight="1">
      <c r="A70" s="23"/>
      <c r="B70" s="24"/>
      <c r="C70" s="23"/>
      <c r="D70" s="23"/>
      <c r="E70" s="60"/>
      <c r="F70" s="60"/>
      <c r="G70" s="54"/>
      <c r="H70" s="23"/>
      <c r="I70" s="23"/>
      <c r="J70" s="23"/>
      <c r="K70" s="23"/>
      <c r="L70" s="23"/>
      <c r="M70" s="45"/>
      <c r="N70" s="45"/>
    </row>
    <row r="71" ht="15.75" customHeight="1">
      <c r="A71" s="25"/>
      <c r="B71" s="26"/>
      <c r="C71" s="25"/>
      <c r="D71" s="25"/>
      <c r="E71" s="59"/>
      <c r="F71" s="59"/>
      <c r="G71" s="55"/>
      <c r="H71" s="25"/>
      <c r="I71" s="25"/>
      <c r="J71" s="25"/>
      <c r="K71" s="25"/>
      <c r="L71" s="25"/>
      <c r="M71" s="43"/>
      <c r="N71" s="43"/>
    </row>
    <row r="72" ht="15.75" customHeight="1">
      <c r="A72" s="23"/>
      <c r="B72" s="24"/>
      <c r="C72" s="23"/>
      <c r="D72" s="23"/>
      <c r="E72" s="60"/>
      <c r="F72" s="60"/>
      <c r="G72" s="54"/>
      <c r="H72" s="23"/>
      <c r="I72" s="23"/>
      <c r="J72" s="23"/>
      <c r="K72" s="23"/>
      <c r="L72" s="23"/>
      <c r="M72" s="45"/>
      <c r="N72" s="45"/>
    </row>
    <row r="73" ht="15.75" customHeight="1">
      <c r="A73" s="25"/>
      <c r="B73" s="26"/>
      <c r="C73" s="25"/>
      <c r="D73" s="25"/>
      <c r="E73" s="59"/>
      <c r="F73" s="59"/>
      <c r="G73" s="55"/>
      <c r="H73" s="25"/>
      <c r="I73" s="25"/>
      <c r="J73" s="25"/>
      <c r="K73" s="25"/>
      <c r="L73" s="25"/>
      <c r="M73" s="43"/>
      <c r="N73" s="43"/>
    </row>
    <row r="74" ht="15.75" customHeight="1">
      <c r="A74" s="23"/>
      <c r="B74" s="24"/>
      <c r="C74" s="23"/>
      <c r="D74" s="23"/>
      <c r="E74" s="60"/>
      <c r="F74" s="60"/>
      <c r="G74" s="54"/>
      <c r="H74" s="23"/>
      <c r="I74" s="23"/>
      <c r="J74" s="23"/>
      <c r="K74" s="23"/>
      <c r="L74" s="23"/>
      <c r="M74" s="45"/>
      <c r="N74" s="45"/>
    </row>
    <row r="75" ht="15.75" customHeight="1">
      <c r="A75" s="25"/>
      <c r="B75" s="26"/>
      <c r="C75" s="25"/>
      <c r="D75" s="25"/>
      <c r="E75" s="59"/>
      <c r="F75" s="59"/>
      <c r="G75" s="55"/>
      <c r="H75" s="25"/>
      <c r="I75" s="25"/>
      <c r="J75" s="25"/>
      <c r="K75" s="25"/>
      <c r="L75" s="25"/>
      <c r="M75" s="43"/>
      <c r="N75" s="43"/>
    </row>
    <row r="76" ht="15.75" customHeight="1">
      <c r="A76" s="23"/>
      <c r="B76" s="24"/>
      <c r="C76" s="23"/>
      <c r="D76" s="23"/>
      <c r="E76" s="60"/>
      <c r="F76" s="60"/>
      <c r="G76" s="54"/>
      <c r="H76" s="23"/>
      <c r="I76" s="23"/>
      <c r="J76" s="23"/>
      <c r="K76" s="23"/>
      <c r="L76" s="23"/>
      <c r="M76" s="45"/>
      <c r="N76" s="45"/>
    </row>
    <row r="77" ht="15.75" customHeight="1">
      <c r="A77" s="25"/>
      <c r="B77" s="26"/>
      <c r="C77" s="25"/>
      <c r="D77" s="25"/>
      <c r="E77" s="59"/>
      <c r="F77" s="59"/>
      <c r="G77" s="55"/>
      <c r="H77" s="25"/>
      <c r="I77" s="25"/>
      <c r="J77" s="25"/>
      <c r="K77" s="25"/>
      <c r="L77" s="25"/>
      <c r="M77" s="43"/>
      <c r="N77" s="43"/>
    </row>
    <row r="78" ht="15.75" customHeight="1">
      <c r="A78" s="23"/>
      <c r="B78" s="24"/>
      <c r="C78" s="23"/>
      <c r="D78" s="23"/>
      <c r="E78" s="60"/>
      <c r="F78" s="60"/>
      <c r="G78" s="54"/>
      <c r="H78" s="23"/>
      <c r="I78" s="23"/>
      <c r="J78" s="23"/>
      <c r="K78" s="23"/>
      <c r="L78" s="23"/>
      <c r="M78" s="45"/>
      <c r="N78" s="45"/>
    </row>
    <row r="79" ht="15.75" customHeight="1">
      <c r="A79" s="25"/>
      <c r="B79" s="26"/>
      <c r="C79" s="25"/>
      <c r="D79" s="25"/>
      <c r="E79" s="59"/>
      <c r="F79" s="59"/>
      <c r="G79" s="55"/>
      <c r="H79" s="25"/>
      <c r="I79" s="25"/>
      <c r="J79" s="25"/>
      <c r="K79" s="25"/>
      <c r="L79" s="25"/>
      <c r="M79" s="43"/>
      <c r="N79" s="43"/>
    </row>
    <row r="80" ht="15.75" customHeight="1">
      <c r="A80" s="23"/>
      <c r="B80" s="24"/>
      <c r="C80" s="23"/>
      <c r="D80" s="23"/>
      <c r="E80" s="60"/>
      <c r="F80" s="60"/>
      <c r="G80" s="54"/>
      <c r="H80" s="23"/>
      <c r="I80" s="23"/>
      <c r="J80" s="23"/>
      <c r="K80" s="23"/>
      <c r="L80" s="23"/>
      <c r="M80" s="45"/>
      <c r="N80" s="45"/>
    </row>
    <row r="81" ht="15.75" customHeight="1">
      <c r="A81" s="25"/>
      <c r="B81" s="26"/>
      <c r="C81" s="25"/>
      <c r="D81" s="25"/>
      <c r="E81" s="59"/>
      <c r="F81" s="59"/>
      <c r="G81" s="55"/>
      <c r="H81" s="25"/>
      <c r="I81" s="25"/>
      <c r="J81" s="25"/>
      <c r="K81" s="25"/>
      <c r="L81" s="25"/>
      <c r="M81" s="43"/>
      <c r="N81" s="43"/>
    </row>
    <row r="82" ht="15.75" customHeight="1">
      <c r="A82" s="23"/>
      <c r="B82" s="24"/>
      <c r="C82" s="23"/>
      <c r="D82" s="23"/>
      <c r="E82" s="60"/>
      <c r="F82" s="60"/>
      <c r="G82" s="54"/>
      <c r="H82" s="23"/>
      <c r="I82" s="23"/>
      <c r="J82" s="23"/>
      <c r="K82" s="23"/>
      <c r="L82" s="23"/>
      <c r="M82" s="45"/>
      <c r="N82" s="45"/>
    </row>
    <row r="83" ht="15.75" customHeight="1">
      <c r="A83" s="25"/>
      <c r="B83" s="26"/>
      <c r="C83" s="25"/>
      <c r="D83" s="25"/>
      <c r="E83" s="59"/>
      <c r="F83" s="59"/>
      <c r="G83" s="55"/>
      <c r="H83" s="25"/>
      <c r="I83" s="25"/>
      <c r="J83" s="25"/>
      <c r="K83" s="25"/>
      <c r="L83" s="25"/>
      <c r="M83" s="43"/>
      <c r="N83" s="43"/>
    </row>
    <row r="84" ht="15.75" customHeight="1">
      <c r="A84" s="23"/>
      <c r="B84" s="24"/>
      <c r="C84" s="23"/>
      <c r="D84" s="23"/>
      <c r="E84" s="60"/>
      <c r="F84" s="60"/>
      <c r="G84" s="54"/>
      <c r="H84" s="23"/>
      <c r="I84" s="23"/>
      <c r="J84" s="23"/>
      <c r="K84" s="23"/>
      <c r="L84" s="23"/>
      <c r="M84" s="45"/>
      <c r="N84" s="45"/>
    </row>
    <row r="85" ht="15.75" customHeight="1">
      <c r="A85" s="25"/>
      <c r="B85" s="26"/>
      <c r="C85" s="25"/>
      <c r="D85" s="25"/>
      <c r="E85" s="59"/>
      <c r="F85" s="59"/>
      <c r="G85" s="55"/>
      <c r="H85" s="25"/>
      <c r="I85" s="25"/>
      <c r="J85" s="25"/>
      <c r="K85" s="25"/>
      <c r="L85" s="25"/>
      <c r="M85" s="43"/>
      <c r="N85" s="43"/>
    </row>
    <row r="86" ht="15.75" customHeight="1">
      <c r="A86" s="23"/>
      <c r="B86" s="24"/>
      <c r="C86" s="23"/>
      <c r="D86" s="23"/>
      <c r="E86" s="60"/>
      <c r="F86" s="60"/>
      <c r="G86" s="54"/>
      <c r="H86" s="23"/>
      <c r="I86" s="23"/>
      <c r="J86" s="23"/>
      <c r="K86" s="23"/>
      <c r="L86" s="23"/>
      <c r="M86" s="45"/>
      <c r="N86" s="45"/>
    </row>
    <row r="87" ht="15.75" customHeight="1">
      <c r="A87" s="25"/>
      <c r="B87" s="26"/>
      <c r="C87" s="25"/>
      <c r="D87" s="25"/>
      <c r="E87" s="59"/>
      <c r="F87" s="59"/>
      <c r="G87" s="55"/>
      <c r="H87" s="25"/>
      <c r="I87" s="25"/>
      <c r="J87" s="25"/>
      <c r="K87" s="25"/>
      <c r="L87" s="25"/>
      <c r="M87" s="43"/>
      <c r="N87" s="43"/>
    </row>
    <row r="88" ht="15.75" customHeight="1">
      <c r="A88" s="23"/>
      <c r="B88" s="24"/>
      <c r="C88" s="23"/>
      <c r="D88" s="23"/>
      <c r="E88" s="60"/>
      <c r="F88" s="60"/>
      <c r="G88" s="54"/>
      <c r="H88" s="23"/>
      <c r="I88" s="23"/>
      <c r="J88" s="23"/>
      <c r="K88" s="23"/>
      <c r="L88" s="23"/>
      <c r="M88" s="45"/>
      <c r="N88" s="45"/>
    </row>
    <row r="89" ht="15.75" customHeight="1">
      <c r="A89" s="25"/>
      <c r="B89" s="26"/>
      <c r="C89" s="25"/>
      <c r="D89" s="25"/>
      <c r="E89" s="59"/>
      <c r="F89" s="59"/>
      <c r="G89" s="55"/>
      <c r="H89" s="25"/>
      <c r="I89" s="25"/>
      <c r="J89" s="25"/>
      <c r="K89" s="25"/>
      <c r="L89" s="25"/>
      <c r="M89" s="43"/>
      <c r="N89" s="43"/>
    </row>
    <row r="90" ht="15.75" customHeight="1">
      <c r="A90" s="23"/>
      <c r="B90" s="24"/>
      <c r="C90" s="23"/>
      <c r="D90" s="23"/>
      <c r="E90" s="60"/>
      <c r="F90" s="60"/>
      <c r="G90" s="54"/>
      <c r="H90" s="23"/>
      <c r="I90" s="23"/>
      <c r="J90" s="23"/>
      <c r="K90" s="23"/>
      <c r="L90" s="23"/>
      <c r="M90" s="45"/>
      <c r="N90" s="45"/>
    </row>
    <row r="91" ht="15.75" customHeight="1">
      <c r="A91" s="25"/>
      <c r="B91" s="26"/>
      <c r="C91" s="25"/>
      <c r="D91" s="25"/>
      <c r="E91" s="59"/>
      <c r="F91" s="59"/>
      <c r="G91" s="55"/>
      <c r="H91" s="25"/>
      <c r="I91" s="25"/>
      <c r="J91" s="25"/>
      <c r="K91" s="25"/>
      <c r="L91" s="25"/>
      <c r="M91" s="43"/>
      <c r="N91" s="43"/>
    </row>
    <row r="92" ht="15.75" customHeight="1">
      <c r="A92" s="23"/>
      <c r="B92" s="24"/>
      <c r="C92" s="23"/>
      <c r="D92" s="23"/>
      <c r="E92" s="60"/>
      <c r="F92" s="60"/>
      <c r="G92" s="54"/>
      <c r="H92" s="23"/>
      <c r="I92" s="23"/>
      <c r="J92" s="23"/>
      <c r="K92" s="23"/>
      <c r="L92" s="23"/>
      <c r="M92" s="45"/>
      <c r="N92" s="45"/>
    </row>
    <row r="93" ht="15.75" customHeight="1">
      <c r="A93" s="25"/>
      <c r="B93" s="26"/>
      <c r="C93" s="25"/>
      <c r="D93" s="25"/>
      <c r="E93" s="59"/>
      <c r="F93" s="59"/>
      <c r="G93" s="55"/>
      <c r="H93" s="25"/>
      <c r="I93" s="25"/>
      <c r="J93" s="25"/>
      <c r="K93" s="25"/>
      <c r="L93" s="25"/>
      <c r="M93" s="43"/>
      <c r="N93" s="43"/>
    </row>
    <row r="94" ht="15.75" customHeight="1">
      <c r="A94" s="23"/>
      <c r="B94" s="24"/>
      <c r="C94" s="23"/>
      <c r="D94" s="23"/>
      <c r="E94" s="60"/>
      <c r="F94" s="60"/>
      <c r="G94" s="54"/>
      <c r="H94" s="23"/>
      <c r="I94" s="23"/>
      <c r="J94" s="23"/>
      <c r="K94" s="23"/>
      <c r="L94" s="23"/>
      <c r="M94" s="45"/>
      <c r="N94" s="45"/>
    </row>
    <row r="95" ht="15.75" customHeight="1">
      <c r="A95" s="25"/>
      <c r="B95" s="26"/>
      <c r="C95" s="25"/>
      <c r="D95" s="25"/>
      <c r="E95" s="59"/>
      <c r="F95" s="59"/>
      <c r="G95" s="55"/>
      <c r="H95" s="25"/>
      <c r="I95" s="25"/>
      <c r="J95" s="25"/>
      <c r="K95" s="25"/>
      <c r="L95" s="25"/>
      <c r="M95" s="43"/>
      <c r="N95" s="43"/>
    </row>
    <row r="96" ht="15.75" customHeight="1">
      <c r="A96" s="23"/>
      <c r="B96" s="24"/>
      <c r="C96" s="23"/>
      <c r="D96" s="23"/>
      <c r="E96" s="60"/>
      <c r="F96" s="60"/>
      <c r="G96" s="54"/>
      <c r="H96" s="23"/>
      <c r="I96" s="23"/>
      <c r="J96" s="23"/>
      <c r="K96" s="23"/>
      <c r="L96" s="23"/>
      <c r="M96" s="45"/>
      <c r="N96" s="45"/>
    </row>
    <row r="97" ht="15.75" customHeight="1">
      <c r="A97" s="25"/>
      <c r="B97" s="26"/>
      <c r="C97" s="25"/>
      <c r="D97" s="25"/>
      <c r="E97" s="59"/>
      <c r="F97" s="59"/>
      <c r="G97" s="55"/>
      <c r="H97" s="25"/>
      <c r="I97" s="25"/>
      <c r="J97" s="25"/>
      <c r="K97" s="25"/>
      <c r="L97" s="25"/>
      <c r="M97" s="43"/>
      <c r="N97" s="43"/>
    </row>
    <row r="98" ht="15.75" customHeight="1">
      <c r="A98" s="23"/>
      <c r="B98" s="24"/>
      <c r="C98" s="23"/>
      <c r="D98" s="23"/>
      <c r="E98" s="60"/>
      <c r="F98" s="60"/>
      <c r="G98" s="54"/>
      <c r="H98" s="23"/>
      <c r="I98" s="23"/>
      <c r="J98" s="23"/>
      <c r="K98" s="23"/>
      <c r="L98" s="23"/>
      <c r="M98" s="45"/>
      <c r="N98" s="45"/>
    </row>
    <row r="99" ht="15.75" customHeight="1">
      <c r="A99" s="25"/>
      <c r="B99" s="26"/>
      <c r="C99" s="25"/>
      <c r="D99" s="25"/>
      <c r="E99" s="59"/>
      <c r="F99" s="59"/>
      <c r="G99" s="55"/>
      <c r="H99" s="25"/>
      <c r="I99" s="25"/>
      <c r="J99" s="25"/>
      <c r="K99" s="25"/>
      <c r="L99" s="25"/>
      <c r="M99" s="43"/>
      <c r="N99" s="43"/>
    </row>
    <row r="100" ht="15.75" customHeight="1">
      <c r="A100" s="23"/>
      <c r="B100" s="24"/>
      <c r="C100" s="23"/>
      <c r="D100" s="23"/>
      <c r="E100" s="60"/>
      <c r="F100" s="60"/>
      <c r="G100" s="54"/>
      <c r="H100" s="23"/>
      <c r="I100" s="23"/>
      <c r="J100" s="23"/>
      <c r="K100" s="23"/>
      <c r="L100" s="23"/>
      <c r="M100" s="45"/>
      <c r="N100" s="45"/>
    </row>
    <row r="101" ht="15.75" customHeight="1">
      <c r="A101" s="25"/>
      <c r="B101" s="26"/>
      <c r="C101" s="25"/>
      <c r="D101" s="25"/>
      <c r="E101" s="59"/>
      <c r="F101" s="59"/>
      <c r="G101" s="55"/>
      <c r="H101" s="25"/>
      <c r="I101" s="25"/>
      <c r="J101" s="25"/>
      <c r="K101" s="25"/>
      <c r="L101" s="25"/>
      <c r="M101" s="43"/>
      <c r="N101" s="43"/>
    </row>
    <row r="102" ht="15.75" customHeight="1">
      <c r="A102" s="23"/>
      <c r="B102" s="24"/>
      <c r="C102" s="23"/>
      <c r="D102" s="23"/>
      <c r="E102" s="60"/>
      <c r="F102" s="60"/>
      <c r="G102" s="54"/>
      <c r="H102" s="23"/>
      <c r="I102" s="23"/>
      <c r="J102" s="23"/>
      <c r="K102" s="23"/>
      <c r="L102" s="23"/>
      <c r="M102" s="45"/>
      <c r="N102" s="45"/>
    </row>
    <row r="103" ht="15.75" customHeight="1">
      <c r="A103" s="25"/>
      <c r="B103" s="26"/>
      <c r="C103" s="25"/>
      <c r="D103" s="25"/>
      <c r="E103" s="59"/>
      <c r="F103" s="59"/>
      <c r="G103" s="55"/>
      <c r="H103" s="25"/>
      <c r="I103" s="25"/>
      <c r="J103" s="25"/>
      <c r="K103" s="25"/>
      <c r="L103" s="25"/>
      <c r="M103" s="43"/>
      <c r="N103" s="43"/>
    </row>
    <row r="104" ht="15.75" customHeight="1">
      <c r="A104" s="23"/>
      <c r="B104" s="24"/>
      <c r="C104" s="23"/>
      <c r="D104" s="23"/>
      <c r="E104" s="60"/>
      <c r="F104" s="60"/>
      <c r="G104" s="54"/>
      <c r="H104" s="23"/>
      <c r="I104" s="23"/>
      <c r="J104" s="23"/>
      <c r="K104" s="23"/>
      <c r="L104" s="23"/>
      <c r="M104" s="45"/>
      <c r="N104" s="45"/>
    </row>
    <row r="105" ht="15.75" customHeight="1">
      <c r="A105" s="25"/>
      <c r="B105" s="26"/>
      <c r="C105" s="25"/>
      <c r="D105" s="25"/>
      <c r="E105" s="59"/>
      <c r="F105" s="59"/>
      <c r="G105" s="55"/>
      <c r="H105" s="25"/>
      <c r="I105" s="25"/>
      <c r="J105" s="25"/>
      <c r="K105" s="25"/>
      <c r="L105" s="25"/>
      <c r="M105" s="43"/>
      <c r="N105" s="43"/>
    </row>
    <row r="106" ht="15.75" customHeight="1">
      <c r="A106" s="23"/>
      <c r="B106" s="24"/>
      <c r="C106" s="23"/>
      <c r="D106" s="23"/>
      <c r="E106" s="60"/>
      <c r="F106" s="60"/>
      <c r="G106" s="54"/>
      <c r="H106" s="23"/>
      <c r="I106" s="23"/>
      <c r="J106" s="23"/>
      <c r="K106" s="23"/>
      <c r="L106" s="23"/>
      <c r="M106" s="45"/>
      <c r="N106" s="45"/>
    </row>
    <row r="107" ht="15.75" customHeight="1">
      <c r="A107" s="25"/>
      <c r="B107" s="26"/>
      <c r="C107" s="25"/>
      <c r="D107" s="25"/>
      <c r="E107" s="59"/>
      <c r="F107" s="59"/>
      <c r="G107" s="55"/>
      <c r="H107" s="25"/>
      <c r="I107" s="25"/>
      <c r="J107" s="25"/>
      <c r="K107" s="25"/>
      <c r="L107" s="25"/>
      <c r="M107" s="43"/>
      <c r="N107" s="43"/>
    </row>
    <row r="108" ht="15.75" customHeight="1">
      <c r="A108" s="23"/>
      <c r="B108" s="24"/>
      <c r="C108" s="23"/>
      <c r="D108" s="23"/>
      <c r="E108" s="60"/>
      <c r="F108" s="60"/>
      <c r="G108" s="54"/>
      <c r="H108" s="23"/>
      <c r="I108" s="23"/>
      <c r="J108" s="23"/>
      <c r="K108" s="23"/>
      <c r="L108" s="23"/>
      <c r="M108" s="45"/>
      <c r="N108" s="45"/>
    </row>
    <row r="109" ht="15.75" customHeight="1">
      <c r="A109" s="25"/>
      <c r="B109" s="26"/>
      <c r="C109" s="25"/>
      <c r="D109" s="25"/>
      <c r="E109" s="59"/>
      <c r="F109" s="59"/>
      <c r="G109" s="55"/>
      <c r="H109" s="25"/>
      <c r="I109" s="25"/>
      <c r="J109" s="25"/>
      <c r="K109" s="25"/>
      <c r="L109" s="25"/>
      <c r="M109" s="43"/>
      <c r="N109" s="43"/>
    </row>
    <row r="110" ht="15.75" customHeight="1">
      <c r="A110" s="23"/>
      <c r="B110" s="24"/>
      <c r="C110" s="23"/>
      <c r="D110" s="23"/>
      <c r="E110" s="60"/>
      <c r="F110" s="60"/>
      <c r="G110" s="54"/>
      <c r="H110" s="23"/>
      <c r="I110" s="23"/>
      <c r="J110" s="23"/>
      <c r="K110" s="23"/>
      <c r="L110" s="23"/>
      <c r="M110" s="45"/>
      <c r="N110" s="45"/>
    </row>
    <row r="111" ht="15.75" customHeight="1">
      <c r="A111" s="25"/>
      <c r="B111" s="26"/>
      <c r="C111" s="25"/>
      <c r="D111" s="25"/>
      <c r="E111" s="59"/>
      <c r="F111" s="59"/>
      <c r="G111" s="55"/>
      <c r="H111" s="25"/>
      <c r="I111" s="25"/>
      <c r="J111" s="25"/>
      <c r="K111" s="25"/>
      <c r="L111" s="25"/>
      <c r="M111" s="43"/>
      <c r="N111" s="43"/>
    </row>
    <row r="112" ht="15.75" customHeight="1">
      <c r="A112" s="23"/>
      <c r="B112" s="24"/>
      <c r="C112" s="23"/>
      <c r="D112" s="23"/>
      <c r="E112" s="60"/>
      <c r="F112" s="60"/>
      <c r="G112" s="54"/>
      <c r="H112" s="23"/>
      <c r="I112" s="23"/>
      <c r="J112" s="23"/>
      <c r="K112" s="23"/>
      <c r="L112" s="23"/>
      <c r="M112" s="45"/>
      <c r="N112" s="45"/>
    </row>
    <row r="113" ht="15.75" customHeight="1">
      <c r="A113" s="25"/>
      <c r="B113" s="26"/>
      <c r="C113" s="25"/>
      <c r="D113" s="25"/>
      <c r="E113" s="59"/>
      <c r="F113" s="59"/>
      <c r="G113" s="55"/>
      <c r="H113" s="25"/>
      <c r="I113" s="25"/>
      <c r="J113" s="25"/>
      <c r="K113" s="25"/>
      <c r="L113" s="25"/>
      <c r="M113" s="43"/>
      <c r="N113" s="43"/>
    </row>
    <row r="114" ht="15.75" customHeight="1">
      <c r="A114" s="23"/>
      <c r="B114" s="24"/>
      <c r="C114" s="23"/>
      <c r="D114" s="23"/>
      <c r="E114" s="60"/>
      <c r="F114" s="60"/>
      <c r="G114" s="54"/>
      <c r="H114" s="23"/>
      <c r="I114" s="23"/>
      <c r="J114" s="23"/>
      <c r="K114" s="23"/>
      <c r="L114" s="23"/>
      <c r="M114" s="45"/>
      <c r="N114" s="45"/>
    </row>
    <row r="115" ht="15.75" customHeight="1">
      <c r="A115" s="25"/>
      <c r="B115" s="26"/>
      <c r="C115" s="25"/>
      <c r="D115" s="25"/>
      <c r="E115" s="59"/>
      <c r="F115" s="59"/>
      <c r="G115" s="55"/>
      <c r="H115" s="25"/>
      <c r="I115" s="25"/>
      <c r="J115" s="25"/>
      <c r="K115" s="25"/>
      <c r="L115" s="25"/>
      <c r="M115" s="43"/>
      <c r="N115" s="43"/>
    </row>
    <row r="116" ht="15.75" customHeight="1">
      <c r="A116" s="23"/>
      <c r="B116" s="24"/>
      <c r="C116" s="23"/>
      <c r="D116" s="23"/>
      <c r="E116" s="60"/>
      <c r="F116" s="60"/>
      <c r="G116" s="54"/>
      <c r="H116" s="23"/>
      <c r="I116" s="23"/>
      <c r="J116" s="23"/>
      <c r="K116" s="23"/>
      <c r="L116" s="23"/>
      <c r="M116" s="45"/>
      <c r="N116" s="45"/>
    </row>
    <row r="117" ht="15.75" customHeight="1">
      <c r="A117" s="25"/>
      <c r="B117" s="26"/>
      <c r="C117" s="25"/>
      <c r="D117" s="25"/>
      <c r="E117" s="59"/>
      <c r="F117" s="59"/>
      <c r="G117" s="55"/>
      <c r="H117" s="25"/>
      <c r="I117" s="25"/>
      <c r="J117" s="25"/>
      <c r="K117" s="25"/>
      <c r="L117" s="25"/>
      <c r="M117" s="43"/>
      <c r="N117" s="43"/>
    </row>
    <row r="118" ht="15.75" customHeight="1">
      <c r="A118" s="23"/>
      <c r="B118" s="24"/>
      <c r="C118" s="23"/>
      <c r="D118" s="23"/>
      <c r="E118" s="60"/>
      <c r="F118" s="60"/>
      <c r="G118" s="54"/>
      <c r="H118" s="23"/>
      <c r="I118" s="23"/>
      <c r="J118" s="23"/>
      <c r="K118" s="23"/>
      <c r="L118" s="23"/>
      <c r="M118" s="45"/>
      <c r="N118" s="45"/>
    </row>
    <row r="119" ht="15.75" customHeight="1">
      <c r="A119" s="25"/>
      <c r="B119" s="26"/>
      <c r="C119" s="25"/>
      <c r="D119" s="25"/>
      <c r="E119" s="59"/>
      <c r="F119" s="59"/>
      <c r="G119" s="55"/>
      <c r="H119" s="25"/>
      <c r="I119" s="25"/>
      <c r="J119" s="25"/>
      <c r="K119" s="25"/>
      <c r="L119" s="25"/>
      <c r="M119" s="43"/>
      <c r="N119" s="43"/>
    </row>
    <row r="120" ht="15.75" customHeight="1">
      <c r="A120" s="23"/>
      <c r="B120" s="24"/>
      <c r="C120" s="23"/>
      <c r="D120" s="23"/>
      <c r="E120" s="60"/>
      <c r="F120" s="60"/>
      <c r="G120" s="54"/>
      <c r="H120" s="23"/>
      <c r="I120" s="23"/>
      <c r="J120" s="23"/>
      <c r="K120" s="23"/>
      <c r="L120" s="23"/>
      <c r="M120" s="45"/>
      <c r="N120" s="45"/>
    </row>
    <row r="121" ht="15.75" customHeight="1">
      <c r="A121" s="25"/>
      <c r="B121" s="26"/>
      <c r="C121" s="25"/>
      <c r="D121" s="25"/>
      <c r="E121" s="59"/>
      <c r="F121" s="59"/>
      <c r="G121" s="55"/>
      <c r="H121" s="25"/>
      <c r="I121" s="25"/>
      <c r="J121" s="25"/>
      <c r="K121" s="25"/>
      <c r="L121" s="25"/>
      <c r="M121" s="43"/>
      <c r="N121" s="43"/>
    </row>
    <row r="122" ht="15.75" customHeight="1">
      <c r="A122" s="23"/>
      <c r="B122" s="24"/>
      <c r="C122" s="23"/>
      <c r="D122" s="23"/>
      <c r="E122" s="60"/>
      <c r="F122" s="60"/>
      <c r="G122" s="54"/>
      <c r="H122" s="23"/>
      <c r="I122" s="23"/>
      <c r="J122" s="23"/>
      <c r="K122" s="23"/>
      <c r="L122" s="23"/>
      <c r="M122" s="45"/>
      <c r="N122" s="45"/>
    </row>
    <row r="123" ht="15.75" customHeight="1">
      <c r="A123" s="25"/>
      <c r="B123" s="26"/>
      <c r="C123" s="25"/>
      <c r="D123" s="25"/>
      <c r="E123" s="59"/>
      <c r="F123" s="59"/>
      <c r="G123" s="55"/>
      <c r="H123" s="25"/>
      <c r="I123" s="25"/>
      <c r="J123" s="25"/>
      <c r="K123" s="25"/>
      <c r="L123" s="25"/>
      <c r="M123" s="43"/>
      <c r="N123" s="43"/>
    </row>
    <row r="124" ht="15.75" customHeight="1">
      <c r="A124" s="23"/>
      <c r="B124" s="24"/>
      <c r="C124" s="23"/>
      <c r="D124" s="23"/>
      <c r="E124" s="60"/>
      <c r="F124" s="60"/>
      <c r="G124" s="54"/>
      <c r="H124" s="23"/>
      <c r="I124" s="23"/>
      <c r="J124" s="23"/>
      <c r="K124" s="23"/>
      <c r="L124" s="23"/>
      <c r="M124" s="45"/>
      <c r="N124" s="45"/>
    </row>
    <row r="125" ht="15.75" customHeight="1">
      <c r="A125" s="25"/>
      <c r="B125" s="26"/>
      <c r="C125" s="25"/>
      <c r="D125" s="25"/>
      <c r="E125" s="59"/>
      <c r="F125" s="59"/>
      <c r="G125" s="55"/>
      <c r="H125" s="25"/>
      <c r="I125" s="25"/>
      <c r="J125" s="25"/>
      <c r="K125" s="25"/>
      <c r="L125" s="25"/>
      <c r="M125" s="43"/>
      <c r="N125" s="43"/>
    </row>
    <row r="126" ht="15.75" customHeight="1">
      <c r="A126" s="23"/>
      <c r="B126" s="24"/>
      <c r="C126" s="23"/>
      <c r="D126" s="23"/>
      <c r="E126" s="60"/>
      <c r="F126" s="60"/>
      <c r="G126" s="54"/>
      <c r="H126" s="23"/>
      <c r="I126" s="23"/>
      <c r="J126" s="23"/>
      <c r="K126" s="23"/>
      <c r="L126" s="23"/>
      <c r="M126" s="45"/>
      <c r="N126" s="45"/>
    </row>
    <row r="127" ht="15.75" customHeight="1">
      <c r="A127" s="25"/>
      <c r="B127" s="26"/>
      <c r="C127" s="25"/>
      <c r="D127" s="25"/>
      <c r="E127" s="59"/>
      <c r="F127" s="59"/>
      <c r="G127" s="55"/>
      <c r="H127" s="25"/>
      <c r="I127" s="25"/>
      <c r="J127" s="25"/>
      <c r="K127" s="25"/>
      <c r="L127" s="25"/>
      <c r="M127" s="43"/>
      <c r="N127" s="43"/>
    </row>
    <row r="128" ht="15.75" customHeight="1">
      <c r="A128" s="23"/>
      <c r="B128" s="24"/>
      <c r="C128" s="23"/>
      <c r="D128" s="23"/>
      <c r="E128" s="60"/>
      <c r="F128" s="60"/>
      <c r="G128" s="54"/>
      <c r="H128" s="23"/>
      <c r="I128" s="23"/>
      <c r="J128" s="23"/>
      <c r="K128" s="23"/>
      <c r="L128" s="23"/>
      <c r="M128" s="45"/>
      <c r="N128" s="45"/>
    </row>
    <row r="129" ht="15.75" customHeight="1">
      <c r="A129" s="25"/>
      <c r="B129" s="26"/>
      <c r="C129" s="25"/>
      <c r="D129" s="25"/>
      <c r="E129" s="59"/>
      <c r="F129" s="59"/>
      <c r="G129" s="55"/>
      <c r="H129" s="25"/>
      <c r="I129" s="25"/>
      <c r="J129" s="25"/>
      <c r="K129" s="25"/>
      <c r="L129" s="25"/>
      <c r="M129" s="43"/>
      <c r="N129" s="43"/>
    </row>
    <row r="130" ht="15.75" customHeight="1">
      <c r="A130" s="23"/>
      <c r="B130" s="24"/>
      <c r="C130" s="23"/>
      <c r="D130" s="23"/>
      <c r="E130" s="60"/>
      <c r="F130" s="60"/>
      <c r="G130" s="54"/>
      <c r="H130" s="23"/>
      <c r="I130" s="23"/>
      <c r="J130" s="23"/>
      <c r="K130" s="23"/>
      <c r="L130" s="23"/>
      <c r="M130" s="45"/>
      <c r="N130" s="45"/>
    </row>
    <row r="131" ht="15.75" customHeight="1">
      <c r="A131" s="25"/>
      <c r="B131" s="26"/>
      <c r="C131" s="25"/>
      <c r="D131" s="25"/>
      <c r="E131" s="59"/>
      <c r="F131" s="59"/>
      <c r="G131" s="55"/>
      <c r="H131" s="25"/>
      <c r="I131" s="25"/>
      <c r="J131" s="25"/>
      <c r="K131" s="25"/>
      <c r="L131" s="25"/>
      <c r="M131" s="43"/>
      <c r="N131" s="43"/>
    </row>
    <row r="132" ht="15.75" customHeight="1">
      <c r="A132" s="23"/>
      <c r="B132" s="24"/>
      <c r="C132" s="23"/>
      <c r="D132" s="23"/>
      <c r="E132" s="60"/>
      <c r="F132" s="60"/>
      <c r="G132" s="54"/>
      <c r="H132" s="23"/>
      <c r="I132" s="23"/>
      <c r="J132" s="23"/>
      <c r="K132" s="23"/>
      <c r="L132" s="23"/>
      <c r="M132" s="45"/>
      <c r="N132" s="45"/>
    </row>
    <row r="133" ht="15.75" customHeight="1">
      <c r="A133" s="25"/>
      <c r="B133" s="26"/>
      <c r="C133" s="25"/>
      <c r="D133" s="25"/>
      <c r="E133" s="59"/>
      <c r="F133" s="59"/>
      <c r="G133" s="55"/>
      <c r="H133" s="25"/>
      <c r="I133" s="25"/>
      <c r="J133" s="25"/>
      <c r="K133" s="25"/>
      <c r="L133" s="25"/>
      <c r="M133" s="43"/>
      <c r="N133" s="43"/>
    </row>
    <row r="134" ht="15.75" customHeight="1">
      <c r="A134" s="23"/>
      <c r="B134" s="24"/>
      <c r="C134" s="23"/>
      <c r="D134" s="23"/>
      <c r="E134" s="60"/>
      <c r="F134" s="60"/>
      <c r="G134" s="54"/>
      <c r="H134" s="23"/>
      <c r="I134" s="23"/>
      <c r="J134" s="23"/>
      <c r="K134" s="23"/>
      <c r="L134" s="23"/>
      <c r="M134" s="45"/>
      <c r="N134" s="45"/>
    </row>
    <row r="135" ht="15.75" customHeight="1">
      <c r="A135" s="25"/>
      <c r="B135" s="26"/>
      <c r="C135" s="25"/>
      <c r="D135" s="25"/>
      <c r="E135" s="59"/>
      <c r="F135" s="59"/>
      <c r="G135" s="55"/>
      <c r="H135" s="25"/>
      <c r="I135" s="25"/>
      <c r="J135" s="25"/>
      <c r="K135" s="25"/>
      <c r="L135" s="25"/>
      <c r="M135" s="43"/>
      <c r="N135" s="43"/>
    </row>
    <row r="136" ht="15.75" customHeight="1">
      <c r="A136" s="23"/>
      <c r="B136" s="24"/>
      <c r="C136" s="23"/>
      <c r="D136" s="23"/>
      <c r="E136" s="60"/>
      <c r="F136" s="60"/>
      <c r="G136" s="54"/>
      <c r="H136" s="23"/>
      <c r="I136" s="23"/>
      <c r="J136" s="23"/>
      <c r="K136" s="23"/>
      <c r="L136" s="23"/>
      <c r="M136" s="45"/>
      <c r="N136" s="45"/>
    </row>
    <row r="137" ht="15.75" customHeight="1">
      <c r="A137" s="25"/>
      <c r="B137" s="26"/>
      <c r="C137" s="25"/>
      <c r="D137" s="25"/>
      <c r="E137" s="59"/>
      <c r="F137" s="59"/>
      <c r="G137" s="55"/>
      <c r="H137" s="25"/>
      <c r="I137" s="25"/>
      <c r="J137" s="25"/>
      <c r="K137" s="25"/>
      <c r="L137" s="25"/>
      <c r="M137" s="43"/>
      <c r="N137" s="43"/>
    </row>
    <row r="138" ht="15.75" customHeight="1">
      <c r="A138" s="23"/>
      <c r="B138" s="24"/>
      <c r="C138" s="23"/>
      <c r="D138" s="23"/>
      <c r="E138" s="60"/>
      <c r="F138" s="60"/>
      <c r="G138" s="54"/>
      <c r="H138" s="23"/>
      <c r="I138" s="23"/>
      <c r="J138" s="23"/>
      <c r="K138" s="23"/>
      <c r="L138" s="23"/>
      <c r="M138" s="45"/>
      <c r="N138" s="45"/>
    </row>
    <row r="139" ht="15.75" customHeight="1">
      <c r="A139" s="25"/>
      <c r="B139" s="26"/>
      <c r="C139" s="25"/>
      <c r="D139" s="25"/>
      <c r="E139" s="59"/>
      <c r="F139" s="59"/>
      <c r="G139" s="55"/>
      <c r="H139" s="25"/>
      <c r="I139" s="25"/>
      <c r="J139" s="25"/>
      <c r="K139" s="25"/>
      <c r="L139" s="25"/>
      <c r="M139" s="43"/>
      <c r="N139" s="43"/>
    </row>
    <row r="140" ht="15.75" customHeight="1">
      <c r="A140" s="23"/>
      <c r="B140" s="24"/>
      <c r="C140" s="23"/>
      <c r="D140" s="23"/>
      <c r="E140" s="60"/>
      <c r="F140" s="60"/>
      <c r="G140" s="54"/>
      <c r="H140" s="23"/>
      <c r="I140" s="23"/>
      <c r="J140" s="23"/>
      <c r="K140" s="23"/>
      <c r="L140" s="23"/>
      <c r="M140" s="45"/>
      <c r="N140" s="45"/>
    </row>
    <row r="141" ht="15.75" customHeight="1">
      <c r="A141" s="25"/>
      <c r="B141" s="26"/>
      <c r="C141" s="25"/>
      <c r="D141" s="25"/>
      <c r="E141" s="59"/>
      <c r="F141" s="59"/>
      <c r="G141" s="55"/>
      <c r="H141" s="25"/>
      <c r="I141" s="25"/>
      <c r="J141" s="25"/>
      <c r="K141" s="25"/>
      <c r="L141" s="25"/>
      <c r="M141" s="43"/>
      <c r="N141" s="43"/>
    </row>
    <row r="142" ht="15.75" customHeight="1">
      <c r="A142" s="23"/>
      <c r="B142" s="24"/>
      <c r="C142" s="23"/>
      <c r="D142" s="23"/>
      <c r="E142" s="60"/>
      <c r="F142" s="60"/>
      <c r="G142" s="54"/>
      <c r="H142" s="23"/>
      <c r="I142" s="23"/>
      <c r="J142" s="23"/>
      <c r="K142" s="23"/>
      <c r="L142" s="23"/>
      <c r="M142" s="45"/>
      <c r="N142" s="45"/>
    </row>
    <row r="143" ht="15.75" customHeight="1">
      <c r="A143" s="25"/>
      <c r="B143" s="26"/>
      <c r="C143" s="25"/>
      <c r="D143" s="25"/>
      <c r="E143" s="59"/>
      <c r="F143" s="59"/>
      <c r="G143" s="55"/>
      <c r="H143" s="25"/>
      <c r="I143" s="25"/>
      <c r="J143" s="25"/>
      <c r="K143" s="25"/>
      <c r="L143" s="25"/>
      <c r="M143" s="43"/>
      <c r="N143" s="43"/>
    </row>
    <row r="144" ht="15.75" customHeight="1">
      <c r="A144" s="23"/>
      <c r="B144" s="24"/>
      <c r="C144" s="23"/>
      <c r="D144" s="23"/>
      <c r="E144" s="60"/>
      <c r="F144" s="60"/>
      <c r="G144" s="54"/>
      <c r="H144" s="23"/>
      <c r="I144" s="23"/>
      <c r="J144" s="23"/>
      <c r="K144" s="23"/>
      <c r="L144" s="23"/>
      <c r="M144" s="45"/>
      <c r="N144" s="45"/>
    </row>
    <row r="145" ht="15.75" customHeight="1">
      <c r="A145" s="25"/>
      <c r="B145" s="26"/>
      <c r="C145" s="25"/>
      <c r="D145" s="25"/>
      <c r="E145" s="59"/>
      <c r="F145" s="59"/>
      <c r="G145" s="55"/>
      <c r="H145" s="25"/>
      <c r="I145" s="25"/>
      <c r="J145" s="25"/>
      <c r="K145" s="25"/>
      <c r="L145" s="25"/>
      <c r="M145" s="43"/>
      <c r="N145" s="43"/>
    </row>
    <row r="146" ht="15.75" customHeight="1">
      <c r="A146" s="23"/>
      <c r="B146" s="24"/>
      <c r="C146" s="23"/>
      <c r="D146" s="23"/>
      <c r="E146" s="60"/>
      <c r="F146" s="60"/>
      <c r="G146" s="54"/>
      <c r="H146" s="23"/>
      <c r="I146" s="23"/>
      <c r="J146" s="23"/>
      <c r="K146" s="23"/>
      <c r="L146" s="23"/>
      <c r="M146" s="45"/>
      <c r="N146" s="45"/>
    </row>
    <row r="147" ht="15.75" customHeight="1">
      <c r="A147" s="25"/>
      <c r="B147" s="26"/>
      <c r="C147" s="25"/>
      <c r="D147" s="25"/>
      <c r="E147" s="59"/>
      <c r="F147" s="59"/>
      <c r="G147" s="55"/>
      <c r="H147" s="25"/>
      <c r="I147" s="25"/>
      <c r="J147" s="25"/>
      <c r="K147" s="25"/>
      <c r="L147" s="25"/>
      <c r="M147" s="43"/>
      <c r="N147" s="43"/>
    </row>
    <row r="148" ht="15.75" customHeight="1">
      <c r="A148" s="23"/>
      <c r="B148" s="24"/>
      <c r="C148" s="23"/>
      <c r="D148" s="23"/>
      <c r="E148" s="60"/>
      <c r="F148" s="60"/>
      <c r="G148" s="54"/>
      <c r="H148" s="23"/>
      <c r="I148" s="23"/>
      <c r="J148" s="23"/>
      <c r="K148" s="23"/>
      <c r="L148" s="23"/>
      <c r="M148" s="45"/>
      <c r="N148" s="45"/>
    </row>
    <row r="149" ht="15.75" customHeight="1">
      <c r="A149" s="25"/>
      <c r="B149" s="26"/>
      <c r="C149" s="25"/>
      <c r="D149" s="25"/>
      <c r="E149" s="59"/>
      <c r="F149" s="59"/>
      <c r="G149" s="55"/>
      <c r="H149" s="25"/>
      <c r="I149" s="25"/>
      <c r="J149" s="25"/>
      <c r="K149" s="25"/>
      <c r="L149" s="25"/>
      <c r="M149" s="43"/>
      <c r="N149" s="43"/>
    </row>
    <row r="150" ht="15.75" customHeight="1">
      <c r="A150" s="23"/>
      <c r="B150" s="24"/>
      <c r="C150" s="23"/>
      <c r="D150" s="23"/>
      <c r="E150" s="60"/>
      <c r="F150" s="60"/>
      <c r="G150" s="54"/>
      <c r="H150" s="23"/>
      <c r="I150" s="23"/>
      <c r="J150" s="23"/>
      <c r="K150" s="23"/>
      <c r="L150" s="23"/>
      <c r="M150" s="45"/>
      <c r="N150" s="45"/>
    </row>
    <row r="151" ht="15.75" customHeight="1">
      <c r="A151" s="25"/>
      <c r="B151" s="26"/>
      <c r="C151" s="25"/>
      <c r="D151" s="25"/>
      <c r="E151" s="59"/>
      <c r="F151" s="59"/>
      <c r="G151" s="55"/>
      <c r="H151" s="25"/>
      <c r="I151" s="25"/>
      <c r="J151" s="25"/>
      <c r="K151" s="25"/>
      <c r="L151" s="25"/>
      <c r="M151" s="43"/>
      <c r="N151" s="43"/>
    </row>
    <row r="152" ht="15.75" customHeight="1">
      <c r="A152" s="23"/>
      <c r="B152" s="24"/>
      <c r="C152" s="23"/>
      <c r="D152" s="23"/>
      <c r="E152" s="60"/>
      <c r="F152" s="60"/>
      <c r="G152" s="54"/>
      <c r="H152" s="23"/>
      <c r="I152" s="23"/>
      <c r="J152" s="23"/>
      <c r="K152" s="23"/>
      <c r="L152" s="23"/>
      <c r="M152" s="45"/>
      <c r="N152" s="45"/>
    </row>
    <row r="153" ht="15.75" customHeight="1">
      <c r="A153" s="25"/>
      <c r="B153" s="26"/>
      <c r="C153" s="25"/>
      <c r="D153" s="25"/>
      <c r="E153" s="59"/>
      <c r="F153" s="59"/>
      <c r="G153" s="55"/>
      <c r="H153" s="25"/>
      <c r="I153" s="25"/>
      <c r="J153" s="25"/>
      <c r="K153" s="25"/>
      <c r="L153" s="25"/>
      <c r="M153" s="43"/>
      <c r="N153" s="43"/>
    </row>
    <row r="154" ht="15.75" customHeight="1">
      <c r="A154" s="23"/>
      <c r="B154" s="24"/>
      <c r="C154" s="23"/>
      <c r="D154" s="23"/>
      <c r="E154" s="60"/>
      <c r="F154" s="60"/>
      <c r="G154" s="54"/>
      <c r="H154" s="23"/>
      <c r="I154" s="23"/>
      <c r="J154" s="23"/>
      <c r="K154" s="23"/>
      <c r="L154" s="23"/>
      <c r="M154" s="45"/>
      <c r="N154" s="45"/>
    </row>
    <row r="155" ht="15.75" customHeight="1">
      <c r="A155" s="25"/>
      <c r="B155" s="26"/>
      <c r="C155" s="25"/>
      <c r="D155" s="25"/>
      <c r="E155" s="59"/>
      <c r="F155" s="59"/>
      <c r="G155" s="55"/>
      <c r="H155" s="25"/>
      <c r="I155" s="25"/>
      <c r="J155" s="25"/>
      <c r="K155" s="25"/>
      <c r="L155" s="25"/>
      <c r="M155" s="43"/>
      <c r="N155" s="43"/>
    </row>
    <row r="156" ht="15.75" customHeight="1">
      <c r="A156" s="23"/>
      <c r="B156" s="24"/>
      <c r="C156" s="23"/>
      <c r="D156" s="23"/>
      <c r="E156" s="60"/>
      <c r="F156" s="60"/>
      <c r="G156" s="54"/>
      <c r="H156" s="23"/>
      <c r="I156" s="23"/>
      <c r="J156" s="23"/>
      <c r="K156" s="23"/>
      <c r="L156" s="23"/>
      <c r="M156" s="45"/>
      <c r="N156" s="45"/>
    </row>
    <row r="157" ht="15.75" customHeight="1">
      <c r="A157" s="25"/>
      <c r="B157" s="26"/>
      <c r="C157" s="25"/>
      <c r="D157" s="25"/>
      <c r="E157" s="59"/>
      <c r="F157" s="59"/>
      <c r="G157" s="55"/>
      <c r="H157" s="25"/>
      <c r="I157" s="25"/>
      <c r="J157" s="25"/>
      <c r="K157" s="25"/>
      <c r="L157" s="25"/>
      <c r="M157" s="43"/>
      <c r="N157" s="43"/>
    </row>
    <row r="158" ht="15.75" customHeight="1">
      <c r="A158" s="23"/>
      <c r="B158" s="24"/>
      <c r="C158" s="23"/>
      <c r="D158" s="23"/>
      <c r="E158" s="60"/>
      <c r="F158" s="60"/>
      <c r="G158" s="54"/>
      <c r="H158" s="23"/>
      <c r="I158" s="23"/>
      <c r="J158" s="23"/>
      <c r="K158" s="23"/>
      <c r="L158" s="23"/>
      <c r="M158" s="45"/>
      <c r="N158" s="45"/>
    </row>
    <row r="159" ht="15.75" customHeight="1">
      <c r="A159" s="25"/>
      <c r="B159" s="26"/>
      <c r="C159" s="25"/>
      <c r="D159" s="25"/>
      <c r="E159" s="59"/>
      <c r="F159" s="59"/>
      <c r="G159" s="55"/>
      <c r="H159" s="25"/>
      <c r="I159" s="25"/>
      <c r="J159" s="25"/>
      <c r="K159" s="25"/>
      <c r="L159" s="25"/>
      <c r="M159" s="43"/>
      <c r="N159" s="43"/>
    </row>
    <row r="160" ht="15.75" customHeight="1">
      <c r="A160" s="23"/>
      <c r="B160" s="24"/>
      <c r="C160" s="23"/>
      <c r="D160" s="23"/>
      <c r="E160" s="60"/>
      <c r="F160" s="60"/>
      <c r="G160" s="54"/>
      <c r="H160" s="23"/>
      <c r="I160" s="23"/>
      <c r="J160" s="23"/>
      <c r="K160" s="23"/>
      <c r="L160" s="23"/>
      <c r="M160" s="45"/>
      <c r="N160" s="45"/>
    </row>
    <row r="161" ht="15.75" customHeight="1">
      <c r="A161" s="25"/>
      <c r="B161" s="26"/>
      <c r="C161" s="25"/>
      <c r="D161" s="25"/>
      <c r="E161" s="59"/>
      <c r="F161" s="59"/>
      <c r="G161" s="55"/>
      <c r="H161" s="25"/>
      <c r="I161" s="25"/>
      <c r="J161" s="25"/>
      <c r="K161" s="25"/>
      <c r="L161" s="25"/>
      <c r="M161" s="43"/>
      <c r="N161" s="43"/>
    </row>
    <row r="162" ht="15.75" customHeight="1">
      <c r="A162" s="23"/>
      <c r="B162" s="24"/>
      <c r="C162" s="23"/>
      <c r="D162" s="23"/>
      <c r="E162" s="60"/>
      <c r="F162" s="60"/>
      <c r="G162" s="54"/>
      <c r="H162" s="23"/>
      <c r="I162" s="23"/>
      <c r="J162" s="23"/>
      <c r="K162" s="23"/>
      <c r="L162" s="23"/>
      <c r="M162" s="45"/>
      <c r="N162" s="45"/>
    </row>
    <row r="163" ht="15.75" customHeight="1">
      <c r="A163" s="25"/>
      <c r="B163" s="26"/>
      <c r="C163" s="25"/>
      <c r="D163" s="25"/>
      <c r="E163" s="59"/>
      <c r="F163" s="59"/>
      <c r="G163" s="55"/>
      <c r="H163" s="25"/>
      <c r="I163" s="25"/>
      <c r="J163" s="25"/>
      <c r="K163" s="25"/>
      <c r="L163" s="25"/>
      <c r="M163" s="43"/>
      <c r="N163" s="43"/>
    </row>
    <row r="164" ht="15.75" customHeight="1">
      <c r="A164" s="23"/>
      <c r="B164" s="24"/>
      <c r="C164" s="23"/>
      <c r="D164" s="23"/>
      <c r="E164" s="60"/>
      <c r="F164" s="60"/>
      <c r="G164" s="54"/>
      <c r="H164" s="23"/>
      <c r="I164" s="23"/>
      <c r="J164" s="23"/>
      <c r="K164" s="23"/>
      <c r="L164" s="23"/>
      <c r="M164" s="45"/>
      <c r="N164" s="45"/>
    </row>
    <row r="165" ht="15.75" customHeight="1">
      <c r="A165" s="25"/>
      <c r="B165" s="26"/>
      <c r="C165" s="25"/>
      <c r="D165" s="25"/>
      <c r="E165" s="59"/>
      <c r="F165" s="59"/>
      <c r="G165" s="55"/>
      <c r="H165" s="25"/>
      <c r="I165" s="25"/>
      <c r="J165" s="25"/>
      <c r="K165" s="25"/>
      <c r="L165" s="25"/>
      <c r="M165" s="43"/>
      <c r="N165" s="43"/>
    </row>
    <row r="166" ht="15.75" customHeight="1">
      <c r="A166" s="23"/>
      <c r="B166" s="24"/>
      <c r="C166" s="23"/>
      <c r="D166" s="23"/>
      <c r="E166" s="60"/>
      <c r="F166" s="60"/>
      <c r="G166" s="54"/>
      <c r="H166" s="23"/>
      <c r="I166" s="23"/>
      <c r="J166" s="23"/>
      <c r="K166" s="23"/>
      <c r="L166" s="23"/>
      <c r="M166" s="45"/>
      <c r="N166" s="45"/>
    </row>
    <row r="167" ht="15.75" customHeight="1">
      <c r="A167" s="25"/>
      <c r="B167" s="26"/>
      <c r="C167" s="25"/>
      <c r="D167" s="25"/>
      <c r="E167" s="59"/>
      <c r="F167" s="59"/>
      <c r="G167" s="55"/>
      <c r="H167" s="25"/>
      <c r="I167" s="25"/>
      <c r="J167" s="25"/>
      <c r="K167" s="25"/>
      <c r="L167" s="25"/>
      <c r="M167" s="43"/>
      <c r="N167" s="43"/>
    </row>
    <row r="168" ht="15.75" customHeight="1">
      <c r="A168" s="23"/>
      <c r="B168" s="24"/>
      <c r="C168" s="23"/>
      <c r="D168" s="23"/>
      <c r="E168" s="60"/>
      <c r="F168" s="60"/>
      <c r="G168" s="54"/>
      <c r="H168" s="23"/>
      <c r="I168" s="23"/>
      <c r="J168" s="23"/>
      <c r="K168" s="23"/>
      <c r="L168" s="23"/>
      <c r="M168" s="45"/>
      <c r="N168" s="45"/>
    </row>
    <row r="169" ht="15.75" customHeight="1">
      <c r="A169" s="25"/>
      <c r="B169" s="26"/>
      <c r="C169" s="25"/>
      <c r="D169" s="25"/>
      <c r="E169" s="59"/>
      <c r="F169" s="59"/>
      <c r="G169" s="55"/>
      <c r="H169" s="25"/>
      <c r="I169" s="25"/>
      <c r="J169" s="25"/>
      <c r="K169" s="25"/>
      <c r="L169" s="25"/>
      <c r="M169" s="43"/>
      <c r="N169" s="43"/>
    </row>
    <row r="170" ht="15.75" customHeight="1">
      <c r="A170" s="23"/>
      <c r="B170" s="24"/>
      <c r="C170" s="23"/>
      <c r="D170" s="23"/>
      <c r="E170" s="60"/>
      <c r="F170" s="60"/>
      <c r="G170" s="54"/>
      <c r="H170" s="23"/>
      <c r="I170" s="23"/>
      <c r="J170" s="23"/>
      <c r="K170" s="23"/>
      <c r="L170" s="23"/>
      <c r="M170" s="45"/>
      <c r="N170" s="45"/>
    </row>
    <row r="171" ht="15.75" customHeight="1">
      <c r="A171" s="25"/>
      <c r="B171" s="26"/>
      <c r="C171" s="25"/>
      <c r="D171" s="25"/>
      <c r="E171" s="59"/>
      <c r="F171" s="59"/>
      <c r="G171" s="55"/>
      <c r="H171" s="25"/>
      <c r="I171" s="25"/>
      <c r="J171" s="25"/>
      <c r="K171" s="25"/>
      <c r="L171" s="25"/>
      <c r="M171" s="43"/>
      <c r="N171" s="43"/>
    </row>
    <row r="172" ht="15.75" customHeight="1">
      <c r="A172" s="23"/>
      <c r="B172" s="24"/>
      <c r="C172" s="23"/>
      <c r="D172" s="23"/>
      <c r="E172" s="60"/>
      <c r="F172" s="60"/>
      <c r="G172" s="54"/>
      <c r="H172" s="23"/>
      <c r="I172" s="23"/>
      <c r="J172" s="23"/>
      <c r="K172" s="23"/>
      <c r="L172" s="23"/>
      <c r="M172" s="45"/>
      <c r="N172" s="45"/>
    </row>
    <row r="173" ht="15.75" customHeight="1">
      <c r="A173" s="25"/>
      <c r="B173" s="26"/>
      <c r="C173" s="25"/>
      <c r="D173" s="25"/>
      <c r="E173" s="59"/>
      <c r="F173" s="59"/>
      <c r="G173" s="55"/>
      <c r="H173" s="25"/>
      <c r="I173" s="25"/>
      <c r="J173" s="25"/>
      <c r="K173" s="25"/>
      <c r="L173" s="25"/>
      <c r="M173" s="43"/>
      <c r="N173" s="43"/>
    </row>
    <row r="174" ht="15.75" customHeight="1">
      <c r="A174" s="23"/>
      <c r="B174" s="24"/>
      <c r="C174" s="23"/>
      <c r="D174" s="23"/>
      <c r="E174" s="60"/>
      <c r="F174" s="60"/>
      <c r="G174" s="54"/>
      <c r="H174" s="23"/>
      <c r="I174" s="23"/>
      <c r="J174" s="23"/>
      <c r="K174" s="23"/>
      <c r="L174" s="23"/>
      <c r="M174" s="45"/>
      <c r="N174" s="45"/>
    </row>
    <row r="175" ht="15.75" customHeight="1">
      <c r="A175" s="25"/>
      <c r="B175" s="26"/>
      <c r="C175" s="25"/>
      <c r="D175" s="25"/>
      <c r="E175" s="59"/>
      <c r="F175" s="59"/>
      <c r="G175" s="55"/>
      <c r="H175" s="25"/>
      <c r="I175" s="25"/>
      <c r="J175" s="25"/>
      <c r="K175" s="25"/>
      <c r="L175" s="25"/>
      <c r="M175" s="43"/>
      <c r="N175" s="43"/>
    </row>
    <row r="176" ht="15.75" customHeight="1">
      <c r="A176" s="23"/>
      <c r="B176" s="24"/>
      <c r="C176" s="23"/>
      <c r="D176" s="23"/>
      <c r="E176" s="60"/>
      <c r="F176" s="60"/>
      <c r="G176" s="54"/>
      <c r="H176" s="23"/>
      <c r="I176" s="23"/>
      <c r="J176" s="23"/>
      <c r="K176" s="23"/>
      <c r="L176" s="23"/>
      <c r="M176" s="45"/>
      <c r="N176" s="45"/>
    </row>
    <row r="177" ht="15.75" customHeight="1">
      <c r="A177" s="25"/>
      <c r="B177" s="26"/>
      <c r="C177" s="25"/>
      <c r="D177" s="25"/>
      <c r="E177" s="59"/>
      <c r="F177" s="59"/>
      <c r="G177" s="55"/>
      <c r="H177" s="25"/>
      <c r="I177" s="25"/>
      <c r="J177" s="25"/>
      <c r="K177" s="25"/>
      <c r="L177" s="25"/>
      <c r="M177" s="43"/>
      <c r="N177" s="43"/>
    </row>
    <row r="178" ht="15.75" customHeight="1">
      <c r="A178" s="23"/>
      <c r="B178" s="24"/>
      <c r="C178" s="23"/>
      <c r="D178" s="23"/>
      <c r="E178" s="60"/>
      <c r="F178" s="60"/>
      <c r="G178" s="54"/>
      <c r="H178" s="23"/>
      <c r="I178" s="23"/>
      <c r="J178" s="23"/>
      <c r="K178" s="23"/>
      <c r="L178" s="23"/>
      <c r="M178" s="45"/>
      <c r="N178" s="45"/>
    </row>
    <row r="179" ht="15.75" customHeight="1">
      <c r="A179" s="25"/>
      <c r="B179" s="26"/>
      <c r="C179" s="25"/>
      <c r="D179" s="25"/>
      <c r="E179" s="59"/>
      <c r="F179" s="59"/>
      <c r="G179" s="55"/>
      <c r="H179" s="25"/>
      <c r="I179" s="25"/>
      <c r="J179" s="25"/>
      <c r="K179" s="25"/>
      <c r="L179" s="25"/>
      <c r="M179" s="43"/>
      <c r="N179" s="43"/>
    </row>
    <row r="180" ht="15.75" customHeight="1">
      <c r="A180" s="23"/>
      <c r="B180" s="24"/>
      <c r="C180" s="23"/>
      <c r="D180" s="23"/>
      <c r="E180" s="60"/>
      <c r="F180" s="60"/>
      <c r="G180" s="54"/>
      <c r="H180" s="23"/>
      <c r="I180" s="23"/>
      <c r="J180" s="23"/>
      <c r="K180" s="23"/>
      <c r="L180" s="23"/>
      <c r="M180" s="45"/>
      <c r="N180" s="45"/>
    </row>
    <row r="181" ht="15.75" customHeight="1">
      <c r="A181" s="25"/>
      <c r="B181" s="26"/>
      <c r="C181" s="25"/>
      <c r="D181" s="25"/>
      <c r="E181" s="59"/>
      <c r="F181" s="59"/>
      <c r="G181" s="55"/>
      <c r="H181" s="25"/>
      <c r="I181" s="25"/>
      <c r="J181" s="25"/>
      <c r="K181" s="25"/>
      <c r="L181" s="25"/>
      <c r="M181" s="43"/>
      <c r="N181" s="43"/>
    </row>
    <row r="182" ht="15.75" customHeight="1">
      <c r="A182" s="23"/>
      <c r="B182" s="24"/>
      <c r="C182" s="23"/>
      <c r="D182" s="23"/>
      <c r="E182" s="60"/>
      <c r="F182" s="60"/>
      <c r="G182" s="54"/>
      <c r="H182" s="23"/>
      <c r="I182" s="23"/>
      <c r="J182" s="23"/>
      <c r="K182" s="23"/>
      <c r="L182" s="23"/>
      <c r="M182" s="45"/>
      <c r="N182" s="45"/>
    </row>
    <row r="183" ht="15.75" customHeight="1">
      <c r="A183" s="25"/>
      <c r="B183" s="26"/>
      <c r="C183" s="25"/>
      <c r="D183" s="25"/>
      <c r="E183" s="59"/>
      <c r="F183" s="59"/>
      <c r="G183" s="55"/>
      <c r="H183" s="25"/>
      <c r="I183" s="25"/>
      <c r="J183" s="25"/>
      <c r="K183" s="25"/>
      <c r="L183" s="25"/>
      <c r="M183" s="43"/>
      <c r="N183" s="43"/>
    </row>
    <row r="184" ht="15.75" customHeight="1">
      <c r="A184" s="23"/>
      <c r="B184" s="24"/>
      <c r="C184" s="23"/>
      <c r="D184" s="23"/>
      <c r="E184" s="60"/>
      <c r="F184" s="60"/>
      <c r="G184" s="54"/>
      <c r="H184" s="23"/>
      <c r="I184" s="23"/>
      <c r="J184" s="23"/>
      <c r="K184" s="23"/>
      <c r="L184" s="23"/>
      <c r="M184" s="45"/>
      <c r="N184" s="45"/>
    </row>
    <row r="185" ht="15.75" customHeight="1">
      <c r="A185" s="25"/>
      <c r="B185" s="26"/>
      <c r="C185" s="25"/>
      <c r="D185" s="25"/>
      <c r="E185" s="59"/>
      <c r="F185" s="59"/>
      <c r="G185" s="55"/>
      <c r="H185" s="25"/>
      <c r="I185" s="25"/>
      <c r="J185" s="25"/>
      <c r="K185" s="25"/>
      <c r="L185" s="25"/>
      <c r="M185" s="43"/>
      <c r="N185" s="43"/>
    </row>
    <row r="186" ht="15.75" customHeight="1">
      <c r="A186" s="23"/>
      <c r="B186" s="24"/>
      <c r="C186" s="23"/>
      <c r="D186" s="23"/>
      <c r="E186" s="60"/>
      <c r="F186" s="60"/>
      <c r="G186" s="54"/>
      <c r="H186" s="23"/>
      <c r="I186" s="23"/>
      <c r="J186" s="23"/>
      <c r="K186" s="23"/>
      <c r="L186" s="23"/>
      <c r="M186" s="45"/>
      <c r="N186" s="45"/>
    </row>
    <row r="187" ht="15.75" customHeight="1">
      <c r="A187" s="25"/>
      <c r="B187" s="26"/>
      <c r="C187" s="25"/>
      <c r="D187" s="25"/>
      <c r="E187" s="59"/>
      <c r="F187" s="59"/>
      <c r="G187" s="55"/>
      <c r="H187" s="25"/>
      <c r="I187" s="25"/>
      <c r="J187" s="25"/>
      <c r="K187" s="25"/>
      <c r="L187" s="25"/>
      <c r="M187" s="43"/>
      <c r="N187" s="43"/>
    </row>
    <row r="188" ht="15.75" customHeight="1">
      <c r="A188" s="23"/>
      <c r="B188" s="24"/>
      <c r="C188" s="23"/>
      <c r="D188" s="23"/>
      <c r="E188" s="60"/>
      <c r="F188" s="60"/>
      <c r="G188" s="54"/>
      <c r="H188" s="23"/>
      <c r="I188" s="23"/>
      <c r="J188" s="23"/>
      <c r="K188" s="23"/>
      <c r="L188" s="23"/>
      <c r="M188" s="45"/>
      <c r="N188" s="45"/>
    </row>
    <row r="189" ht="15.75" customHeight="1">
      <c r="A189" s="25"/>
      <c r="B189" s="26"/>
      <c r="C189" s="25"/>
      <c r="D189" s="25"/>
      <c r="E189" s="59"/>
      <c r="F189" s="59"/>
      <c r="G189" s="55"/>
      <c r="H189" s="25"/>
      <c r="I189" s="25"/>
      <c r="J189" s="25"/>
      <c r="K189" s="25"/>
      <c r="L189" s="25"/>
      <c r="M189" s="43"/>
      <c r="N189" s="43"/>
    </row>
    <row r="190" ht="15.75" customHeight="1">
      <c r="A190" s="23"/>
      <c r="B190" s="24"/>
      <c r="C190" s="23"/>
      <c r="D190" s="23"/>
      <c r="E190" s="60"/>
      <c r="F190" s="60"/>
      <c r="G190" s="54"/>
      <c r="H190" s="23"/>
      <c r="I190" s="23"/>
      <c r="J190" s="23"/>
      <c r="K190" s="23"/>
      <c r="L190" s="23"/>
      <c r="M190" s="45"/>
      <c r="N190" s="45"/>
    </row>
    <row r="191" ht="15.75" customHeight="1">
      <c r="A191" s="25"/>
      <c r="B191" s="26"/>
      <c r="C191" s="25"/>
      <c r="D191" s="25"/>
      <c r="E191" s="59"/>
      <c r="F191" s="59"/>
      <c r="G191" s="55"/>
      <c r="H191" s="25"/>
      <c r="I191" s="25"/>
      <c r="J191" s="25"/>
      <c r="K191" s="25"/>
      <c r="L191" s="25"/>
      <c r="M191" s="43"/>
      <c r="N191" s="43"/>
    </row>
    <row r="192" ht="15.75" customHeight="1">
      <c r="A192" s="23"/>
      <c r="B192" s="24"/>
      <c r="C192" s="23"/>
      <c r="D192" s="23"/>
      <c r="E192" s="60"/>
      <c r="F192" s="60"/>
      <c r="G192" s="54"/>
      <c r="H192" s="23"/>
      <c r="I192" s="23"/>
      <c r="J192" s="23"/>
      <c r="K192" s="23"/>
      <c r="L192" s="23"/>
      <c r="M192" s="45"/>
      <c r="N192" s="45"/>
    </row>
    <row r="193" ht="15.75" customHeight="1">
      <c r="A193" s="25"/>
      <c r="B193" s="26"/>
      <c r="C193" s="25"/>
      <c r="D193" s="25"/>
      <c r="E193" s="59"/>
      <c r="F193" s="59"/>
      <c r="G193" s="55"/>
      <c r="H193" s="25"/>
      <c r="I193" s="25"/>
      <c r="J193" s="25"/>
      <c r="K193" s="25"/>
      <c r="L193" s="25"/>
      <c r="M193" s="43"/>
      <c r="N193" s="43"/>
    </row>
    <row r="194" ht="15.75" customHeight="1">
      <c r="A194" s="23"/>
      <c r="B194" s="24"/>
      <c r="C194" s="23"/>
      <c r="D194" s="23"/>
      <c r="E194" s="60"/>
      <c r="F194" s="60"/>
      <c r="G194" s="54"/>
      <c r="H194" s="23"/>
      <c r="I194" s="23"/>
      <c r="J194" s="23"/>
      <c r="K194" s="23"/>
      <c r="L194" s="23"/>
      <c r="M194" s="45"/>
      <c r="N194" s="45"/>
    </row>
    <row r="195" ht="15.75" customHeight="1">
      <c r="A195" s="25"/>
      <c r="B195" s="26"/>
      <c r="C195" s="25"/>
      <c r="D195" s="25"/>
      <c r="E195" s="59"/>
      <c r="F195" s="59"/>
      <c r="G195" s="55"/>
      <c r="H195" s="25"/>
      <c r="I195" s="25"/>
      <c r="J195" s="25"/>
      <c r="K195" s="25"/>
      <c r="L195" s="25"/>
      <c r="M195" s="43"/>
      <c r="N195" s="43"/>
    </row>
    <row r="196" ht="15.75" customHeight="1">
      <c r="A196" s="23"/>
      <c r="B196" s="24"/>
      <c r="C196" s="23"/>
      <c r="D196" s="23"/>
      <c r="E196" s="60"/>
      <c r="F196" s="60"/>
      <c r="G196" s="54"/>
      <c r="H196" s="23"/>
      <c r="I196" s="23"/>
      <c r="J196" s="23"/>
      <c r="K196" s="23"/>
      <c r="L196" s="23"/>
      <c r="M196" s="45"/>
      <c r="N196" s="45"/>
    </row>
    <row r="197" ht="15.75" customHeight="1">
      <c r="A197" s="25"/>
      <c r="B197" s="26"/>
      <c r="C197" s="25"/>
      <c r="D197" s="25"/>
      <c r="E197" s="59"/>
      <c r="F197" s="59"/>
      <c r="G197" s="55"/>
      <c r="H197" s="25"/>
      <c r="I197" s="25"/>
      <c r="J197" s="25"/>
      <c r="K197" s="25"/>
      <c r="L197" s="25"/>
      <c r="M197" s="43"/>
      <c r="N197" s="43"/>
    </row>
    <row r="198" ht="15.75" customHeight="1">
      <c r="A198" s="23"/>
      <c r="B198" s="24"/>
      <c r="C198" s="23"/>
      <c r="D198" s="23"/>
      <c r="E198" s="60"/>
      <c r="F198" s="60"/>
      <c r="G198" s="54"/>
      <c r="H198" s="23"/>
      <c r="I198" s="23"/>
      <c r="J198" s="23"/>
      <c r="K198" s="23"/>
      <c r="L198" s="23"/>
      <c r="M198" s="45"/>
      <c r="N198" s="45"/>
    </row>
    <row r="199" ht="15.75" customHeight="1">
      <c r="A199" s="25"/>
      <c r="B199" s="26"/>
      <c r="C199" s="25"/>
      <c r="D199" s="25"/>
      <c r="E199" s="59"/>
      <c r="F199" s="59"/>
      <c r="G199" s="55"/>
      <c r="H199" s="25"/>
      <c r="I199" s="25"/>
      <c r="J199" s="25"/>
      <c r="K199" s="25"/>
      <c r="L199" s="25"/>
      <c r="M199" s="43"/>
      <c r="N199" s="43"/>
    </row>
    <row r="200" ht="15.75" customHeight="1">
      <c r="A200" s="23"/>
      <c r="B200" s="24"/>
      <c r="C200" s="23"/>
      <c r="D200" s="23"/>
      <c r="E200" s="60"/>
      <c r="F200" s="60"/>
      <c r="G200" s="54"/>
      <c r="H200" s="23"/>
      <c r="I200" s="23"/>
      <c r="J200" s="23"/>
      <c r="K200" s="23"/>
      <c r="L200" s="23"/>
      <c r="M200" s="45"/>
      <c r="N200" s="45"/>
    </row>
    <row r="201" ht="15.75" customHeight="1">
      <c r="A201" s="25"/>
      <c r="B201" s="26"/>
      <c r="C201" s="25"/>
      <c r="D201" s="25"/>
      <c r="E201" s="59"/>
      <c r="F201" s="59"/>
      <c r="G201" s="55"/>
      <c r="H201" s="25"/>
      <c r="I201" s="25"/>
      <c r="J201" s="25"/>
      <c r="K201" s="25"/>
      <c r="L201" s="25"/>
      <c r="M201" s="43"/>
      <c r="N201" s="43"/>
    </row>
    <row r="202" ht="15.75" customHeight="1">
      <c r="A202" s="23"/>
      <c r="B202" s="24"/>
      <c r="C202" s="23"/>
      <c r="D202" s="23"/>
      <c r="E202" s="60"/>
      <c r="F202" s="60"/>
      <c r="G202" s="54"/>
      <c r="H202" s="23"/>
      <c r="I202" s="23"/>
      <c r="J202" s="23"/>
      <c r="K202" s="23"/>
      <c r="L202" s="23"/>
      <c r="M202" s="45"/>
      <c r="N202" s="45"/>
    </row>
    <row r="203" ht="15.75" customHeight="1">
      <c r="A203" s="25"/>
      <c r="B203" s="26"/>
      <c r="C203" s="25"/>
      <c r="D203" s="25"/>
      <c r="E203" s="59"/>
      <c r="F203" s="59"/>
      <c r="G203" s="55"/>
      <c r="H203" s="25"/>
      <c r="I203" s="25"/>
      <c r="J203" s="25"/>
      <c r="K203" s="25"/>
      <c r="L203" s="25"/>
      <c r="M203" s="43"/>
      <c r="N203" s="43"/>
    </row>
    <row r="204" ht="15.75" customHeight="1">
      <c r="A204" s="23"/>
      <c r="B204" s="24"/>
      <c r="C204" s="23"/>
      <c r="D204" s="23"/>
      <c r="E204" s="60"/>
      <c r="F204" s="60"/>
      <c r="G204" s="54"/>
      <c r="H204" s="23"/>
      <c r="I204" s="23"/>
      <c r="J204" s="23"/>
      <c r="K204" s="23"/>
      <c r="L204" s="23"/>
      <c r="M204" s="45"/>
      <c r="N204" s="45"/>
    </row>
    <row r="205" ht="15.75" customHeight="1">
      <c r="A205" s="25"/>
      <c r="B205" s="26"/>
      <c r="C205" s="25"/>
      <c r="D205" s="25"/>
      <c r="E205" s="59"/>
      <c r="F205" s="59"/>
      <c r="G205" s="55"/>
      <c r="H205" s="25"/>
      <c r="I205" s="25"/>
      <c r="J205" s="25"/>
      <c r="K205" s="25"/>
      <c r="L205" s="25"/>
      <c r="M205" s="43"/>
      <c r="N205" s="43"/>
    </row>
    <row r="206" ht="15.75" customHeight="1">
      <c r="A206" s="23"/>
      <c r="B206" s="24"/>
      <c r="C206" s="23"/>
      <c r="D206" s="23"/>
      <c r="E206" s="60"/>
      <c r="F206" s="60"/>
      <c r="G206" s="54"/>
      <c r="H206" s="23"/>
      <c r="I206" s="23"/>
      <c r="J206" s="23"/>
      <c r="K206" s="23"/>
      <c r="L206" s="23"/>
      <c r="M206" s="45"/>
      <c r="N206" s="45"/>
    </row>
    <row r="207" ht="15.75" customHeight="1">
      <c r="A207" s="25"/>
      <c r="B207" s="26"/>
      <c r="C207" s="25"/>
      <c r="D207" s="25"/>
      <c r="E207" s="59"/>
      <c r="F207" s="59"/>
      <c r="G207" s="55"/>
      <c r="H207" s="25"/>
      <c r="I207" s="25"/>
      <c r="J207" s="25"/>
      <c r="K207" s="25"/>
      <c r="L207" s="25"/>
      <c r="M207" s="43"/>
      <c r="N207" s="43"/>
    </row>
    <row r="208" ht="15.75" customHeight="1">
      <c r="A208" s="23"/>
      <c r="B208" s="24"/>
      <c r="C208" s="23"/>
      <c r="D208" s="23"/>
      <c r="E208" s="60"/>
      <c r="F208" s="60"/>
      <c r="G208" s="54"/>
      <c r="H208" s="23"/>
      <c r="I208" s="23"/>
      <c r="J208" s="23"/>
      <c r="K208" s="23"/>
      <c r="L208" s="23"/>
      <c r="M208" s="45"/>
      <c r="N208" s="45"/>
    </row>
    <row r="209" ht="15.75" customHeight="1">
      <c r="A209" s="25"/>
      <c r="B209" s="26"/>
      <c r="C209" s="25"/>
      <c r="D209" s="25"/>
      <c r="E209" s="59"/>
      <c r="F209" s="59"/>
      <c r="G209" s="55"/>
      <c r="H209" s="25"/>
      <c r="I209" s="25"/>
      <c r="J209" s="25"/>
      <c r="K209" s="25"/>
      <c r="L209" s="25"/>
      <c r="M209" s="43"/>
      <c r="N209" s="43"/>
    </row>
    <row r="210" ht="15.75" customHeight="1">
      <c r="A210" s="23"/>
      <c r="B210" s="24"/>
      <c r="C210" s="23"/>
      <c r="D210" s="23"/>
      <c r="E210" s="60"/>
      <c r="F210" s="60"/>
      <c r="G210" s="54"/>
      <c r="H210" s="23"/>
      <c r="I210" s="23"/>
      <c r="J210" s="23"/>
      <c r="K210" s="23"/>
      <c r="L210" s="23"/>
      <c r="M210" s="45"/>
      <c r="N210" s="45"/>
    </row>
    <row r="211" ht="15.75" customHeight="1">
      <c r="A211" s="25"/>
      <c r="B211" s="26"/>
      <c r="C211" s="25"/>
      <c r="D211" s="25"/>
      <c r="E211" s="59"/>
      <c r="F211" s="59"/>
      <c r="G211" s="55"/>
      <c r="H211" s="25"/>
      <c r="I211" s="25"/>
      <c r="J211" s="25"/>
      <c r="K211" s="25"/>
      <c r="L211" s="25"/>
      <c r="M211" s="43"/>
      <c r="N211" s="43"/>
    </row>
    <row r="212" ht="15.75" customHeight="1">
      <c r="A212" s="23"/>
      <c r="B212" s="24"/>
      <c r="C212" s="23"/>
      <c r="D212" s="23"/>
      <c r="E212" s="60"/>
      <c r="F212" s="60"/>
      <c r="G212" s="54"/>
      <c r="H212" s="23"/>
      <c r="I212" s="23"/>
      <c r="J212" s="23"/>
      <c r="K212" s="23"/>
      <c r="L212" s="23"/>
      <c r="M212" s="45"/>
      <c r="N212" s="45"/>
    </row>
    <row r="213" ht="15.75" customHeight="1">
      <c r="A213" s="25"/>
      <c r="B213" s="26"/>
      <c r="C213" s="25"/>
      <c r="D213" s="25"/>
      <c r="E213" s="59"/>
      <c r="F213" s="59"/>
      <c r="G213" s="55"/>
      <c r="H213" s="25"/>
      <c r="I213" s="25"/>
      <c r="J213" s="25"/>
      <c r="K213" s="25"/>
      <c r="L213" s="25"/>
      <c r="M213" s="43"/>
      <c r="N213" s="43"/>
    </row>
    <row r="214" ht="15.75" customHeight="1">
      <c r="A214" s="23"/>
      <c r="B214" s="24"/>
      <c r="C214" s="23"/>
      <c r="D214" s="23"/>
      <c r="E214" s="60"/>
      <c r="F214" s="60"/>
      <c r="G214" s="54"/>
      <c r="H214" s="23"/>
      <c r="I214" s="23"/>
      <c r="J214" s="23"/>
      <c r="K214" s="23"/>
      <c r="L214" s="23"/>
      <c r="M214" s="45"/>
      <c r="N214" s="45"/>
    </row>
    <row r="215" ht="15.75" customHeight="1">
      <c r="A215" s="25"/>
      <c r="B215" s="26"/>
      <c r="C215" s="25"/>
      <c r="D215" s="25"/>
      <c r="E215" s="59"/>
      <c r="F215" s="59"/>
      <c r="G215" s="55"/>
      <c r="H215" s="25"/>
      <c r="I215" s="25"/>
      <c r="J215" s="25"/>
      <c r="K215" s="25"/>
      <c r="L215" s="25"/>
      <c r="M215" s="43"/>
      <c r="N215" s="43"/>
    </row>
    <row r="216" ht="15.75" customHeight="1">
      <c r="A216" s="23"/>
      <c r="B216" s="24"/>
      <c r="C216" s="23"/>
      <c r="D216" s="23"/>
      <c r="E216" s="60"/>
      <c r="F216" s="60"/>
      <c r="G216" s="54"/>
      <c r="H216" s="23"/>
      <c r="I216" s="23"/>
      <c r="J216" s="23"/>
      <c r="K216" s="23"/>
      <c r="L216" s="23"/>
      <c r="M216" s="45"/>
      <c r="N216" s="45"/>
    </row>
    <row r="217" ht="15.75" customHeight="1">
      <c r="A217" s="25"/>
      <c r="B217" s="26"/>
      <c r="C217" s="25"/>
      <c r="D217" s="25"/>
      <c r="E217" s="59"/>
      <c r="F217" s="59"/>
      <c r="G217" s="55"/>
      <c r="H217" s="25"/>
      <c r="I217" s="25"/>
      <c r="J217" s="25"/>
      <c r="K217" s="25"/>
      <c r="L217" s="25"/>
      <c r="M217" s="43"/>
      <c r="N217" s="43"/>
    </row>
    <row r="218" ht="15.75" customHeight="1">
      <c r="A218" s="23"/>
      <c r="B218" s="24"/>
      <c r="C218" s="23"/>
      <c r="D218" s="23"/>
      <c r="E218" s="60"/>
      <c r="F218" s="60"/>
      <c r="G218" s="54"/>
      <c r="H218" s="23"/>
      <c r="I218" s="23"/>
      <c r="J218" s="23"/>
      <c r="K218" s="23"/>
      <c r="L218" s="23"/>
      <c r="M218" s="45"/>
      <c r="N218" s="45"/>
    </row>
    <row r="219" ht="15.75" customHeight="1">
      <c r="A219" s="25"/>
      <c r="B219" s="26"/>
      <c r="C219" s="25"/>
      <c r="D219" s="25"/>
      <c r="E219" s="59"/>
      <c r="F219" s="59"/>
      <c r="G219" s="55"/>
      <c r="H219" s="25"/>
      <c r="I219" s="25"/>
      <c r="J219" s="25"/>
      <c r="K219" s="25"/>
      <c r="L219" s="25"/>
      <c r="M219" s="43"/>
      <c r="N219" s="43"/>
    </row>
    <row r="220" ht="15.75" customHeight="1">
      <c r="H220" s="47"/>
      <c r="K220" s="47"/>
    </row>
    <row r="221" ht="15.75" customHeight="1">
      <c r="H221" s="47"/>
      <c r="K221" s="47"/>
    </row>
    <row r="222" ht="15.75" customHeight="1">
      <c r="H222" s="47"/>
      <c r="K222" s="47"/>
    </row>
    <row r="223" ht="15.75" customHeight="1">
      <c r="H223" s="47"/>
      <c r="K223" s="47"/>
    </row>
    <row r="224" ht="15.75" customHeight="1">
      <c r="H224" s="47"/>
      <c r="K224" s="47"/>
    </row>
    <row r="225" ht="15.75" customHeight="1">
      <c r="H225" s="47"/>
      <c r="K225" s="47"/>
    </row>
    <row r="226" ht="15.75" customHeight="1">
      <c r="H226" s="47"/>
      <c r="K226" s="47"/>
    </row>
    <row r="227" ht="15.75" customHeight="1">
      <c r="H227" s="47"/>
      <c r="K227" s="47"/>
    </row>
    <row r="228" ht="15.75" customHeight="1">
      <c r="H228" s="47"/>
      <c r="K228" s="47"/>
    </row>
    <row r="229" ht="15.75" customHeight="1">
      <c r="H229" s="47"/>
      <c r="K229" s="47"/>
    </row>
    <row r="230" ht="15.75" customHeight="1">
      <c r="H230" s="47"/>
      <c r="K230" s="47"/>
    </row>
    <row r="231" ht="15.75" customHeight="1">
      <c r="H231" s="47"/>
      <c r="K231" s="47"/>
    </row>
    <row r="232" ht="15.75" customHeight="1">
      <c r="H232" s="47"/>
      <c r="K232" s="47"/>
    </row>
    <row r="233" ht="15.75" customHeight="1">
      <c r="H233" s="47"/>
      <c r="K233" s="47"/>
    </row>
    <row r="234" ht="15.75" customHeight="1">
      <c r="H234" s="47"/>
      <c r="K234" s="47"/>
    </row>
    <row r="235" ht="15.75" customHeight="1">
      <c r="H235" s="47"/>
      <c r="K235" s="47"/>
    </row>
    <row r="236" ht="15.75" customHeight="1">
      <c r="H236" s="47"/>
      <c r="K236" s="47"/>
    </row>
    <row r="237" ht="15.75" customHeight="1">
      <c r="H237" s="47"/>
      <c r="K237" s="47"/>
    </row>
    <row r="238" ht="15.75" customHeight="1">
      <c r="H238" s="47"/>
      <c r="K238" s="47"/>
    </row>
    <row r="239" ht="15.75" customHeight="1">
      <c r="H239" s="47"/>
      <c r="K239" s="47"/>
    </row>
    <row r="240" ht="15.75" customHeight="1">
      <c r="H240" s="47"/>
      <c r="K240" s="47"/>
    </row>
    <row r="241" ht="15.75" customHeight="1">
      <c r="H241" s="47"/>
      <c r="K241" s="47"/>
    </row>
    <row r="242" ht="15.75" customHeight="1">
      <c r="H242" s="47"/>
      <c r="K242" s="47"/>
    </row>
    <row r="243" ht="15.75" customHeight="1">
      <c r="H243" s="47"/>
      <c r="K243" s="47"/>
    </row>
    <row r="244" ht="15.75" customHeight="1">
      <c r="H244" s="47"/>
      <c r="K244" s="47"/>
    </row>
    <row r="245" ht="15.75" customHeight="1">
      <c r="H245" s="47"/>
      <c r="K245" s="47"/>
    </row>
    <row r="246" ht="15.75" customHeight="1">
      <c r="H246" s="47"/>
      <c r="K246" s="47"/>
    </row>
    <row r="247" ht="15.75" customHeight="1">
      <c r="H247" s="47"/>
      <c r="K247" s="47"/>
    </row>
    <row r="248" ht="15.75" customHeight="1">
      <c r="H248" s="47"/>
      <c r="K248" s="47"/>
    </row>
    <row r="249" ht="15.75" customHeight="1">
      <c r="H249" s="47"/>
      <c r="K249" s="47"/>
    </row>
    <row r="250" ht="15.75" customHeight="1">
      <c r="H250" s="47"/>
      <c r="K250" s="47"/>
    </row>
    <row r="251" ht="15.75" customHeight="1">
      <c r="H251" s="47"/>
      <c r="K251" s="47"/>
    </row>
    <row r="252" ht="15.75" customHeight="1">
      <c r="H252" s="47"/>
      <c r="K252" s="47"/>
    </row>
    <row r="253" ht="15.75" customHeight="1">
      <c r="H253" s="47"/>
      <c r="K253" s="47"/>
    </row>
    <row r="254" ht="15.75" customHeight="1">
      <c r="H254" s="47"/>
      <c r="K254" s="47"/>
    </row>
    <row r="255" ht="15.75" customHeight="1">
      <c r="H255" s="47"/>
      <c r="K255" s="47"/>
    </row>
    <row r="256" ht="15.75" customHeight="1">
      <c r="H256" s="47"/>
      <c r="K256" s="47"/>
    </row>
    <row r="257" ht="15.75" customHeight="1">
      <c r="H257" s="47"/>
      <c r="K257" s="47"/>
    </row>
    <row r="258" ht="15.75" customHeight="1">
      <c r="H258" s="47"/>
      <c r="K258" s="47"/>
    </row>
    <row r="259" ht="15.75" customHeight="1">
      <c r="H259" s="47"/>
      <c r="K259" s="47"/>
    </row>
    <row r="260" ht="15.75" customHeight="1">
      <c r="H260" s="47"/>
      <c r="K260" s="47"/>
    </row>
    <row r="261" ht="15.75" customHeight="1">
      <c r="H261" s="47"/>
      <c r="K261" s="47"/>
    </row>
    <row r="262" ht="15.75" customHeight="1">
      <c r="H262" s="47"/>
      <c r="K262" s="47"/>
    </row>
    <row r="263" ht="15.75" customHeight="1">
      <c r="H263" s="47"/>
      <c r="K263" s="47"/>
    </row>
    <row r="264" ht="15.75" customHeight="1">
      <c r="H264" s="47"/>
      <c r="K264" s="47"/>
    </row>
    <row r="265" ht="15.75" customHeight="1">
      <c r="H265" s="47"/>
      <c r="K265" s="47"/>
    </row>
    <row r="266" ht="15.75" customHeight="1">
      <c r="H266" s="47"/>
      <c r="K266" s="47"/>
    </row>
    <row r="267" ht="15.75" customHeight="1">
      <c r="H267" s="47"/>
      <c r="K267" s="47"/>
    </row>
    <row r="268" ht="15.75" customHeight="1">
      <c r="H268" s="47"/>
      <c r="K268" s="47"/>
    </row>
    <row r="269" ht="15.75" customHeight="1">
      <c r="H269" s="47"/>
      <c r="K269" s="47"/>
    </row>
    <row r="270" ht="15.75" customHeight="1">
      <c r="H270" s="47"/>
      <c r="K270" s="47"/>
    </row>
    <row r="271" ht="15.75" customHeight="1">
      <c r="H271" s="47"/>
      <c r="K271" s="47"/>
    </row>
    <row r="272" ht="15.75" customHeight="1">
      <c r="H272" s="47"/>
      <c r="K272" s="47"/>
    </row>
    <row r="273" ht="15.75" customHeight="1">
      <c r="H273" s="47"/>
      <c r="K273" s="47"/>
    </row>
    <row r="274" ht="15.75" customHeight="1">
      <c r="H274" s="47"/>
      <c r="K274" s="47"/>
    </row>
    <row r="275" ht="15.75" customHeight="1">
      <c r="H275" s="47"/>
      <c r="K275" s="47"/>
    </row>
    <row r="276" ht="15.75" customHeight="1">
      <c r="H276" s="47"/>
      <c r="K276" s="47"/>
    </row>
    <row r="277" ht="15.75" customHeight="1">
      <c r="H277" s="47"/>
      <c r="K277" s="47"/>
    </row>
    <row r="278" ht="15.75" customHeight="1">
      <c r="H278" s="47"/>
      <c r="K278" s="47"/>
    </row>
    <row r="279" ht="15.75" customHeight="1">
      <c r="H279" s="47"/>
      <c r="K279" s="47"/>
    </row>
    <row r="280" ht="15.75" customHeight="1">
      <c r="H280" s="47"/>
      <c r="K280" s="47"/>
    </row>
    <row r="281" ht="15.75" customHeight="1">
      <c r="H281" s="47"/>
      <c r="K281" s="47"/>
    </row>
    <row r="282" ht="15.75" customHeight="1">
      <c r="H282" s="47"/>
      <c r="K282" s="47"/>
    </row>
    <row r="283" ht="15.75" customHeight="1">
      <c r="H283" s="47"/>
      <c r="K283" s="47"/>
    </row>
    <row r="284" ht="15.75" customHeight="1">
      <c r="H284" s="47"/>
      <c r="K284" s="47"/>
    </row>
    <row r="285" ht="15.75" customHeight="1">
      <c r="H285" s="47"/>
      <c r="K285" s="47"/>
    </row>
    <row r="286" ht="15.75" customHeight="1">
      <c r="H286" s="47"/>
      <c r="K286" s="47"/>
    </row>
    <row r="287" ht="15.75" customHeight="1">
      <c r="H287" s="47"/>
      <c r="K287" s="47"/>
    </row>
    <row r="288" ht="15.75" customHeight="1">
      <c r="H288" s="47"/>
      <c r="K288" s="47"/>
    </row>
    <row r="289" ht="15.75" customHeight="1">
      <c r="H289" s="47"/>
      <c r="K289" s="47"/>
    </row>
    <row r="290" ht="15.75" customHeight="1">
      <c r="H290" s="47"/>
      <c r="K290" s="47"/>
    </row>
    <row r="291" ht="15.75" customHeight="1">
      <c r="H291" s="47"/>
      <c r="K291" s="47"/>
    </row>
    <row r="292" ht="15.75" customHeight="1">
      <c r="H292" s="47"/>
      <c r="K292" s="47"/>
    </row>
    <row r="293" ht="15.75" customHeight="1">
      <c r="H293" s="47"/>
      <c r="K293" s="47"/>
    </row>
    <row r="294" ht="15.75" customHeight="1">
      <c r="H294" s="47"/>
      <c r="K294" s="47"/>
    </row>
    <row r="295" ht="15.75" customHeight="1">
      <c r="H295" s="47"/>
      <c r="K295" s="47"/>
    </row>
    <row r="296" ht="15.75" customHeight="1">
      <c r="H296" s="47"/>
      <c r="K296" s="47"/>
    </row>
    <row r="297" ht="15.75" customHeight="1">
      <c r="H297" s="47"/>
      <c r="K297" s="47"/>
    </row>
    <row r="298" ht="15.75" customHeight="1">
      <c r="H298" s="47"/>
      <c r="K298" s="47"/>
    </row>
    <row r="299" ht="15.75" customHeight="1">
      <c r="H299" s="47"/>
      <c r="K299" s="47"/>
    </row>
    <row r="300" ht="15.75" customHeight="1">
      <c r="H300" s="47"/>
      <c r="K300" s="47"/>
    </row>
    <row r="301" ht="15.75" customHeight="1">
      <c r="H301" s="47"/>
      <c r="K301" s="47"/>
    </row>
    <row r="302" ht="15.75" customHeight="1">
      <c r="H302" s="47"/>
      <c r="K302" s="47"/>
    </row>
    <row r="303" ht="15.75" customHeight="1">
      <c r="H303" s="47"/>
      <c r="K303" s="47"/>
    </row>
    <row r="304" ht="15.75" customHeight="1">
      <c r="H304" s="47"/>
      <c r="K304" s="47"/>
    </row>
    <row r="305" ht="15.75" customHeight="1">
      <c r="H305" s="47"/>
      <c r="K305" s="47"/>
    </row>
    <row r="306" ht="15.75" customHeight="1">
      <c r="H306" s="47"/>
      <c r="K306" s="47"/>
    </row>
    <row r="307" ht="15.75" customHeight="1">
      <c r="H307" s="47"/>
      <c r="K307" s="47"/>
    </row>
    <row r="308" ht="15.75" customHeight="1">
      <c r="H308" s="47"/>
      <c r="K308" s="47"/>
    </row>
    <row r="309" ht="15.75" customHeight="1">
      <c r="H309" s="47"/>
      <c r="K309" s="47"/>
    </row>
    <row r="310" ht="15.75" customHeight="1">
      <c r="H310" s="47"/>
      <c r="K310" s="47"/>
    </row>
    <row r="311" ht="15.75" customHeight="1">
      <c r="H311" s="47"/>
      <c r="K311" s="47"/>
    </row>
    <row r="312" ht="15.75" customHeight="1">
      <c r="H312" s="47"/>
      <c r="K312" s="47"/>
    </row>
    <row r="313" ht="15.75" customHeight="1">
      <c r="H313" s="47"/>
      <c r="K313" s="47"/>
    </row>
    <row r="314" ht="15.75" customHeight="1">
      <c r="H314" s="47"/>
      <c r="K314" s="47"/>
    </row>
    <row r="315" ht="15.75" customHeight="1">
      <c r="H315" s="47"/>
      <c r="K315" s="47"/>
    </row>
    <row r="316" ht="15.75" customHeight="1">
      <c r="H316" s="47"/>
      <c r="K316" s="47"/>
    </row>
    <row r="317" ht="15.75" customHeight="1">
      <c r="H317" s="47"/>
      <c r="K317" s="47"/>
    </row>
    <row r="318" ht="15.75" customHeight="1">
      <c r="H318" s="47"/>
      <c r="K318" s="47"/>
    </row>
    <row r="319" ht="15.75" customHeight="1">
      <c r="H319" s="47"/>
      <c r="K319" s="47"/>
    </row>
    <row r="320" ht="15.75" customHeight="1">
      <c r="H320" s="47"/>
      <c r="K320" s="47"/>
    </row>
    <row r="321" ht="15.75" customHeight="1">
      <c r="H321" s="47"/>
      <c r="K321" s="47"/>
    </row>
    <row r="322" ht="15.75" customHeight="1">
      <c r="H322" s="47"/>
      <c r="K322" s="47"/>
    </row>
    <row r="323" ht="15.75" customHeight="1">
      <c r="H323" s="47"/>
      <c r="K323" s="47"/>
    </row>
    <row r="324" ht="15.75" customHeight="1">
      <c r="H324" s="47"/>
      <c r="K324" s="47"/>
    </row>
    <row r="325" ht="15.75" customHeight="1">
      <c r="H325" s="47"/>
      <c r="K325" s="47"/>
    </row>
    <row r="326" ht="15.75" customHeight="1">
      <c r="H326" s="47"/>
      <c r="K326" s="47"/>
    </row>
    <row r="327" ht="15.75" customHeight="1">
      <c r="H327" s="47"/>
      <c r="K327" s="47"/>
    </row>
    <row r="328" ht="15.75" customHeight="1">
      <c r="H328" s="47"/>
      <c r="K328" s="47"/>
    </row>
    <row r="329" ht="15.75" customHeight="1">
      <c r="H329" s="47"/>
      <c r="K329" s="47"/>
    </row>
    <row r="330" ht="15.75" customHeight="1">
      <c r="H330" s="47"/>
      <c r="K330" s="47"/>
    </row>
    <row r="331" ht="15.75" customHeight="1">
      <c r="H331" s="47"/>
      <c r="K331" s="47"/>
    </row>
    <row r="332" ht="15.75" customHeight="1">
      <c r="H332" s="47"/>
      <c r="K332" s="47"/>
    </row>
    <row r="333" ht="15.75" customHeight="1">
      <c r="H333" s="47"/>
      <c r="K333" s="47"/>
    </row>
    <row r="334" ht="15.75" customHeight="1">
      <c r="H334" s="47"/>
      <c r="K334" s="47"/>
    </row>
    <row r="335" ht="15.75" customHeight="1">
      <c r="H335" s="47"/>
      <c r="K335" s="47"/>
    </row>
    <row r="336" ht="15.75" customHeight="1">
      <c r="H336" s="47"/>
      <c r="K336" s="47"/>
    </row>
    <row r="337" ht="15.75" customHeight="1">
      <c r="H337" s="47"/>
      <c r="K337" s="47"/>
    </row>
    <row r="338" ht="15.75" customHeight="1">
      <c r="H338" s="47"/>
      <c r="K338" s="47"/>
    </row>
    <row r="339" ht="15.75" customHeight="1">
      <c r="H339" s="47"/>
      <c r="K339" s="47"/>
    </row>
    <row r="340" ht="15.75" customHeight="1">
      <c r="H340" s="47"/>
      <c r="K340" s="47"/>
    </row>
    <row r="341" ht="15.75" customHeight="1">
      <c r="H341" s="47"/>
      <c r="K341" s="47"/>
    </row>
    <row r="342" ht="15.75" customHeight="1">
      <c r="H342" s="47"/>
      <c r="K342" s="47"/>
    </row>
    <row r="343" ht="15.75" customHeight="1">
      <c r="H343" s="47"/>
      <c r="K343" s="47"/>
    </row>
    <row r="344" ht="15.75" customHeight="1">
      <c r="H344" s="47"/>
      <c r="K344" s="47"/>
    </row>
    <row r="345" ht="15.75" customHeight="1">
      <c r="H345" s="47"/>
      <c r="K345" s="47"/>
    </row>
    <row r="346" ht="15.75" customHeight="1">
      <c r="H346" s="47"/>
      <c r="K346" s="47"/>
    </row>
    <row r="347" ht="15.75" customHeight="1">
      <c r="H347" s="47"/>
      <c r="K347" s="47"/>
    </row>
    <row r="348" ht="15.75" customHeight="1">
      <c r="H348" s="47"/>
      <c r="K348" s="47"/>
    </row>
    <row r="349" ht="15.75" customHeight="1">
      <c r="H349" s="47"/>
      <c r="K349" s="47"/>
    </row>
    <row r="350" ht="15.75" customHeight="1">
      <c r="H350" s="47"/>
      <c r="K350" s="47"/>
    </row>
    <row r="351" ht="15.75" customHeight="1">
      <c r="H351" s="47"/>
      <c r="K351" s="47"/>
    </row>
    <row r="352" ht="15.75" customHeight="1">
      <c r="H352" s="47"/>
      <c r="K352" s="47"/>
    </row>
    <row r="353" ht="15.75" customHeight="1">
      <c r="H353" s="47"/>
      <c r="K353" s="47"/>
    </row>
    <row r="354" ht="15.75" customHeight="1">
      <c r="H354" s="47"/>
      <c r="K354" s="47"/>
    </row>
    <row r="355" ht="15.75" customHeight="1">
      <c r="H355" s="47"/>
      <c r="K355" s="47"/>
    </row>
    <row r="356" ht="15.75" customHeight="1">
      <c r="H356" s="47"/>
      <c r="K356" s="47"/>
    </row>
    <row r="357" ht="15.75" customHeight="1">
      <c r="H357" s="47"/>
      <c r="K357" s="47"/>
    </row>
    <row r="358" ht="15.75" customHeight="1">
      <c r="H358" s="47"/>
      <c r="K358" s="47"/>
    </row>
    <row r="359" ht="15.75" customHeight="1">
      <c r="H359" s="47"/>
      <c r="K359" s="47"/>
    </row>
    <row r="360" ht="15.75" customHeight="1">
      <c r="H360" s="47"/>
      <c r="K360" s="47"/>
    </row>
    <row r="361" ht="15.75" customHeight="1">
      <c r="H361" s="47"/>
      <c r="K361" s="47"/>
    </row>
    <row r="362" ht="15.75" customHeight="1">
      <c r="H362" s="47"/>
      <c r="K362" s="47"/>
    </row>
    <row r="363" ht="15.75" customHeight="1">
      <c r="H363" s="47"/>
      <c r="K363" s="47"/>
    </row>
    <row r="364" ht="15.75" customHeight="1">
      <c r="H364" s="47"/>
      <c r="K364" s="47"/>
    </row>
    <row r="365" ht="15.75" customHeight="1">
      <c r="H365" s="47"/>
      <c r="K365" s="47"/>
    </row>
    <row r="366" ht="15.75" customHeight="1">
      <c r="H366" s="47"/>
      <c r="K366" s="47"/>
    </row>
    <row r="367" ht="15.75" customHeight="1">
      <c r="H367" s="47"/>
      <c r="K367" s="47"/>
    </row>
    <row r="368" ht="15.75" customHeight="1">
      <c r="H368" s="47"/>
      <c r="K368" s="47"/>
    </row>
    <row r="369" ht="15.75" customHeight="1">
      <c r="H369" s="47"/>
      <c r="K369" s="47"/>
    </row>
    <row r="370" ht="15.75" customHeight="1">
      <c r="H370" s="47"/>
      <c r="K370" s="47"/>
    </row>
    <row r="371" ht="15.75" customHeight="1">
      <c r="H371" s="47"/>
      <c r="K371" s="47"/>
    </row>
    <row r="372" ht="15.75" customHeight="1">
      <c r="H372" s="47"/>
      <c r="K372" s="47"/>
    </row>
    <row r="373" ht="15.75" customHeight="1">
      <c r="H373" s="47"/>
      <c r="K373" s="47"/>
    </row>
    <row r="374" ht="15.75" customHeight="1">
      <c r="H374" s="47"/>
      <c r="K374" s="47"/>
    </row>
    <row r="375" ht="15.75" customHeight="1">
      <c r="H375" s="47"/>
      <c r="K375" s="47"/>
    </row>
    <row r="376" ht="15.75" customHeight="1">
      <c r="H376" s="47"/>
      <c r="K376" s="47"/>
    </row>
    <row r="377" ht="15.75" customHeight="1">
      <c r="H377" s="47"/>
      <c r="K377" s="47"/>
    </row>
    <row r="378" ht="15.75" customHeight="1">
      <c r="H378" s="47"/>
      <c r="K378" s="47"/>
    </row>
    <row r="379" ht="15.75" customHeight="1">
      <c r="H379" s="47"/>
      <c r="K379" s="47"/>
    </row>
    <row r="380" ht="15.75" customHeight="1">
      <c r="H380" s="47"/>
      <c r="K380" s="47"/>
    </row>
    <row r="381" ht="15.75" customHeight="1">
      <c r="H381" s="47"/>
      <c r="K381" s="47"/>
    </row>
    <row r="382" ht="15.75" customHeight="1">
      <c r="H382" s="47"/>
      <c r="K382" s="47"/>
    </row>
    <row r="383" ht="15.75" customHeight="1">
      <c r="H383" s="47"/>
      <c r="K383" s="47"/>
    </row>
    <row r="384" ht="15.75" customHeight="1">
      <c r="H384" s="47"/>
      <c r="K384" s="47"/>
    </row>
    <row r="385" ht="15.75" customHeight="1">
      <c r="H385" s="47"/>
      <c r="K385" s="47"/>
    </row>
    <row r="386" ht="15.75" customHeight="1">
      <c r="H386" s="47"/>
      <c r="K386" s="47"/>
    </row>
    <row r="387" ht="15.75" customHeight="1">
      <c r="H387" s="47"/>
      <c r="K387" s="47"/>
    </row>
    <row r="388" ht="15.75" customHeight="1">
      <c r="H388" s="47"/>
      <c r="K388" s="47"/>
    </row>
    <row r="389" ht="15.75" customHeight="1">
      <c r="H389" s="47"/>
      <c r="K389" s="47"/>
    </row>
    <row r="390" ht="15.75" customHeight="1">
      <c r="H390" s="47"/>
      <c r="K390" s="47"/>
    </row>
    <row r="391" ht="15.75" customHeight="1">
      <c r="H391" s="47"/>
      <c r="K391" s="47"/>
    </row>
    <row r="392" ht="15.75" customHeight="1">
      <c r="H392" s="47"/>
      <c r="K392" s="47"/>
    </row>
    <row r="393" ht="15.75" customHeight="1">
      <c r="H393" s="47"/>
      <c r="K393" s="47"/>
    </row>
    <row r="394" ht="15.75" customHeight="1">
      <c r="H394" s="47"/>
      <c r="K394" s="47"/>
    </row>
    <row r="395" ht="15.75" customHeight="1">
      <c r="H395" s="47"/>
      <c r="K395" s="47"/>
    </row>
    <row r="396" ht="15.75" customHeight="1">
      <c r="H396" s="47"/>
      <c r="K396" s="47"/>
    </row>
    <row r="397" ht="15.75" customHeight="1">
      <c r="H397" s="47"/>
      <c r="K397" s="47"/>
    </row>
    <row r="398" ht="15.75" customHeight="1">
      <c r="H398" s="47"/>
      <c r="K398" s="47"/>
    </row>
    <row r="399" ht="15.75" customHeight="1">
      <c r="H399" s="47"/>
      <c r="K399" s="47"/>
    </row>
    <row r="400" ht="15.75" customHeight="1">
      <c r="H400" s="47"/>
      <c r="K400" s="47"/>
    </row>
    <row r="401" ht="15.75" customHeight="1">
      <c r="H401" s="47"/>
      <c r="K401" s="47"/>
    </row>
    <row r="402" ht="15.75" customHeight="1">
      <c r="H402" s="47"/>
      <c r="K402" s="47"/>
    </row>
    <row r="403" ht="15.75" customHeight="1">
      <c r="H403" s="47"/>
      <c r="K403" s="47"/>
    </row>
    <row r="404" ht="15.75" customHeight="1">
      <c r="H404" s="47"/>
      <c r="K404" s="47"/>
    </row>
    <row r="405" ht="15.75" customHeight="1">
      <c r="H405" s="47"/>
      <c r="K405" s="47"/>
    </row>
    <row r="406" ht="15.75" customHeight="1">
      <c r="H406" s="47"/>
      <c r="K406" s="47"/>
    </row>
    <row r="407" ht="15.75" customHeight="1">
      <c r="H407" s="47"/>
      <c r="K407" s="47"/>
    </row>
    <row r="408" ht="15.75" customHeight="1">
      <c r="H408" s="47"/>
      <c r="K408" s="47"/>
    </row>
    <row r="409" ht="15.75" customHeight="1">
      <c r="H409" s="47"/>
      <c r="K409" s="47"/>
    </row>
    <row r="410" ht="15.75" customHeight="1">
      <c r="H410" s="47"/>
      <c r="K410" s="47"/>
    </row>
    <row r="411" ht="15.75" customHeight="1">
      <c r="H411" s="47"/>
      <c r="K411" s="47"/>
    </row>
    <row r="412" ht="15.75" customHeight="1">
      <c r="H412" s="47"/>
      <c r="K412" s="47"/>
    </row>
    <row r="413" ht="15.75" customHeight="1">
      <c r="H413" s="47"/>
      <c r="K413" s="47"/>
    </row>
    <row r="414" ht="15.75" customHeight="1">
      <c r="H414" s="47"/>
      <c r="K414" s="47"/>
    </row>
    <row r="415" ht="15.75" customHeight="1">
      <c r="H415" s="47"/>
      <c r="K415" s="47"/>
    </row>
    <row r="416" ht="15.75" customHeight="1">
      <c r="H416" s="47"/>
      <c r="K416" s="47"/>
    </row>
    <row r="417" ht="15.75" customHeight="1">
      <c r="H417" s="47"/>
      <c r="K417" s="47"/>
    </row>
    <row r="418" ht="15.75" customHeight="1">
      <c r="H418" s="47"/>
      <c r="K418" s="47"/>
    </row>
    <row r="419" ht="15.75" customHeight="1">
      <c r="H419" s="47"/>
      <c r="K419" s="47"/>
    </row>
    <row r="420" ht="15.75" customHeight="1">
      <c r="H420" s="47"/>
      <c r="K420" s="47"/>
    </row>
    <row r="421" ht="15.75" customHeight="1">
      <c r="H421" s="47"/>
      <c r="K421" s="47"/>
    </row>
    <row r="422" ht="15.75" customHeight="1">
      <c r="H422" s="47"/>
      <c r="K422" s="47"/>
    </row>
    <row r="423" ht="15.75" customHeight="1">
      <c r="H423" s="47"/>
      <c r="K423" s="47"/>
    </row>
    <row r="424" ht="15.75" customHeight="1">
      <c r="H424" s="47"/>
      <c r="K424" s="47"/>
    </row>
    <row r="425" ht="15.75" customHeight="1">
      <c r="H425" s="47"/>
      <c r="K425" s="47"/>
    </row>
    <row r="426" ht="15.75" customHeight="1">
      <c r="H426" s="47"/>
      <c r="K426" s="47"/>
    </row>
    <row r="427" ht="15.75" customHeight="1">
      <c r="H427" s="47"/>
      <c r="K427" s="47"/>
    </row>
    <row r="428" ht="15.75" customHeight="1">
      <c r="H428" s="47"/>
      <c r="K428" s="47"/>
    </row>
    <row r="429" ht="15.75" customHeight="1">
      <c r="H429" s="47"/>
      <c r="K429" s="47"/>
    </row>
    <row r="430" ht="15.75" customHeight="1">
      <c r="H430" s="47"/>
      <c r="K430" s="47"/>
    </row>
    <row r="431" ht="15.75" customHeight="1">
      <c r="H431" s="47"/>
      <c r="K431" s="47"/>
    </row>
    <row r="432" ht="15.75" customHeight="1">
      <c r="H432" s="47"/>
      <c r="K432" s="47"/>
    </row>
    <row r="433" ht="15.75" customHeight="1">
      <c r="H433" s="47"/>
      <c r="K433" s="47"/>
    </row>
    <row r="434" ht="15.75" customHeight="1">
      <c r="H434" s="47"/>
      <c r="K434" s="47"/>
    </row>
    <row r="435" ht="15.75" customHeight="1">
      <c r="H435" s="47"/>
      <c r="K435" s="47"/>
    </row>
    <row r="436" ht="15.75" customHeight="1">
      <c r="H436" s="47"/>
      <c r="K436" s="47"/>
    </row>
    <row r="437" ht="15.75" customHeight="1">
      <c r="H437" s="47"/>
      <c r="K437" s="47"/>
    </row>
    <row r="438" ht="15.75" customHeight="1">
      <c r="H438" s="47"/>
      <c r="K438" s="47"/>
    </row>
    <row r="439" ht="15.75" customHeight="1">
      <c r="H439" s="47"/>
      <c r="K439" s="47"/>
    </row>
    <row r="440" ht="15.75" customHeight="1">
      <c r="H440" s="47"/>
      <c r="K440" s="47"/>
    </row>
    <row r="441" ht="15.75" customHeight="1">
      <c r="H441" s="47"/>
      <c r="K441" s="47"/>
    </row>
    <row r="442" ht="15.75" customHeight="1">
      <c r="H442" s="47"/>
      <c r="K442" s="47"/>
    </row>
    <row r="443" ht="15.75" customHeight="1">
      <c r="H443" s="47"/>
      <c r="K443" s="47"/>
    </row>
    <row r="444" ht="15.75" customHeight="1">
      <c r="H444" s="47"/>
      <c r="K444" s="47"/>
    </row>
    <row r="445" ht="15.75" customHeight="1">
      <c r="H445" s="47"/>
      <c r="K445" s="47"/>
    </row>
    <row r="446" ht="15.75" customHeight="1">
      <c r="H446" s="47"/>
      <c r="K446" s="47"/>
    </row>
    <row r="447" ht="15.75" customHeight="1">
      <c r="H447" s="47"/>
      <c r="K447" s="47"/>
    </row>
    <row r="448" ht="15.75" customHeight="1">
      <c r="H448" s="47"/>
      <c r="K448" s="47"/>
    </row>
    <row r="449" ht="15.75" customHeight="1">
      <c r="H449" s="47"/>
      <c r="K449" s="47"/>
    </row>
    <row r="450" ht="15.75" customHeight="1">
      <c r="H450" s="47"/>
      <c r="K450" s="47"/>
    </row>
    <row r="451" ht="15.75" customHeight="1">
      <c r="H451" s="47"/>
      <c r="K451" s="47"/>
    </row>
    <row r="452" ht="15.75" customHeight="1">
      <c r="H452" s="47"/>
      <c r="K452" s="47"/>
    </row>
    <row r="453" ht="15.75" customHeight="1">
      <c r="H453" s="47"/>
      <c r="K453" s="47"/>
    </row>
    <row r="454" ht="15.75" customHeight="1">
      <c r="H454" s="47"/>
      <c r="K454" s="47"/>
    </row>
    <row r="455" ht="15.75" customHeight="1">
      <c r="H455" s="47"/>
      <c r="K455" s="47"/>
    </row>
    <row r="456" ht="15.75" customHeight="1">
      <c r="H456" s="47"/>
      <c r="K456" s="47"/>
    </row>
    <row r="457" ht="15.75" customHeight="1">
      <c r="H457" s="47"/>
      <c r="K457" s="47"/>
    </row>
    <row r="458" ht="15.75" customHeight="1">
      <c r="H458" s="47"/>
      <c r="K458" s="47"/>
    </row>
    <row r="459" ht="15.75" customHeight="1">
      <c r="H459" s="47"/>
      <c r="K459" s="47"/>
    </row>
    <row r="460" ht="15.75" customHeight="1">
      <c r="H460" s="47"/>
      <c r="K460" s="47"/>
    </row>
    <row r="461" ht="15.75" customHeight="1">
      <c r="H461" s="47"/>
      <c r="K461" s="47"/>
    </row>
    <row r="462" ht="15.75" customHeight="1">
      <c r="H462" s="47"/>
      <c r="K462" s="47"/>
    </row>
    <row r="463" ht="15.75" customHeight="1">
      <c r="H463" s="47"/>
      <c r="K463" s="47"/>
    </row>
    <row r="464" ht="15.75" customHeight="1">
      <c r="H464" s="47"/>
      <c r="K464" s="47"/>
    </row>
    <row r="465" ht="15.75" customHeight="1">
      <c r="H465" s="47"/>
      <c r="K465" s="47"/>
    </row>
    <row r="466" ht="15.75" customHeight="1">
      <c r="H466" s="47"/>
      <c r="K466" s="47"/>
    </row>
    <row r="467" ht="15.75" customHeight="1">
      <c r="H467" s="47"/>
      <c r="K467" s="47"/>
    </row>
    <row r="468" ht="15.75" customHeight="1">
      <c r="H468" s="47"/>
      <c r="K468" s="47"/>
    </row>
    <row r="469" ht="15.75" customHeight="1">
      <c r="H469" s="47"/>
      <c r="K469" s="47"/>
    </row>
    <row r="470" ht="15.75" customHeight="1">
      <c r="H470" s="47"/>
      <c r="K470" s="47"/>
    </row>
    <row r="471" ht="15.75" customHeight="1">
      <c r="H471" s="47"/>
      <c r="K471" s="47"/>
    </row>
    <row r="472" ht="15.75" customHeight="1">
      <c r="H472" s="47"/>
      <c r="K472" s="47"/>
    </row>
    <row r="473" ht="15.75" customHeight="1">
      <c r="H473" s="47"/>
      <c r="K473" s="47"/>
    </row>
    <row r="474" ht="15.75" customHeight="1">
      <c r="H474" s="47"/>
      <c r="K474" s="47"/>
    </row>
    <row r="475" ht="15.75" customHeight="1">
      <c r="H475" s="47"/>
      <c r="K475" s="47"/>
    </row>
    <row r="476" ht="15.75" customHeight="1">
      <c r="H476" s="47"/>
      <c r="K476" s="47"/>
    </row>
    <row r="477" ht="15.75" customHeight="1">
      <c r="H477" s="47"/>
      <c r="K477" s="47"/>
    </row>
    <row r="478" ht="15.75" customHeight="1">
      <c r="H478" s="47"/>
      <c r="K478" s="47"/>
    </row>
    <row r="479" ht="15.75" customHeight="1">
      <c r="H479" s="47"/>
      <c r="K479" s="47"/>
    </row>
    <row r="480" ht="15.75" customHeight="1">
      <c r="H480" s="47"/>
      <c r="K480" s="47"/>
    </row>
    <row r="481" ht="15.75" customHeight="1">
      <c r="H481" s="47"/>
      <c r="K481" s="47"/>
    </row>
    <row r="482" ht="15.75" customHeight="1">
      <c r="H482" s="47"/>
      <c r="K482" s="47"/>
    </row>
    <row r="483" ht="15.75" customHeight="1">
      <c r="H483" s="47"/>
      <c r="K483" s="47"/>
    </row>
    <row r="484" ht="15.75" customHeight="1">
      <c r="H484" s="47"/>
      <c r="K484" s="47"/>
    </row>
    <row r="485" ht="15.75" customHeight="1">
      <c r="H485" s="47"/>
      <c r="K485" s="47"/>
    </row>
    <row r="486" ht="15.75" customHeight="1">
      <c r="H486" s="47"/>
      <c r="K486" s="47"/>
    </row>
    <row r="487" ht="15.75" customHeight="1">
      <c r="H487" s="47"/>
      <c r="K487" s="47"/>
    </row>
    <row r="488" ht="15.75" customHeight="1">
      <c r="H488" s="47"/>
      <c r="K488" s="47"/>
    </row>
    <row r="489" ht="15.75" customHeight="1">
      <c r="H489" s="47"/>
      <c r="K489" s="47"/>
    </row>
    <row r="490" ht="15.75" customHeight="1">
      <c r="H490" s="47"/>
      <c r="K490" s="47"/>
    </row>
    <row r="491" ht="15.75" customHeight="1">
      <c r="H491" s="47"/>
      <c r="K491" s="47"/>
    </row>
    <row r="492" ht="15.75" customHeight="1">
      <c r="H492" s="47"/>
      <c r="K492" s="47"/>
    </row>
    <row r="493" ht="15.75" customHeight="1">
      <c r="H493" s="47"/>
      <c r="K493" s="47"/>
    </row>
    <row r="494" ht="15.75" customHeight="1">
      <c r="H494" s="47"/>
      <c r="K494" s="47"/>
    </row>
    <row r="495" ht="15.75" customHeight="1">
      <c r="H495" s="47"/>
      <c r="K495" s="47"/>
    </row>
    <row r="496" ht="15.75" customHeight="1">
      <c r="H496" s="47"/>
      <c r="K496" s="47"/>
    </row>
    <row r="497" ht="15.75" customHeight="1">
      <c r="H497" s="47"/>
      <c r="K497" s="47"/>
    </row>
    <row r="498" ht="15.75" customHeight="1">
      <c r="H498" s="47"/>
      <c r="K498" s="47"/>
    </row>
    <row r="499" ht="15.75" customHeight="1">
      <c r="H499" s="47"/>
      <c r="K499" s="47"/>
    </row>
    <row r="500" ht="15.75" customHeight="1">
      <c r="H500" s="47"/>
      <c r="K500" s="47"/>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autoFilter ref="A1:N2"/>
  <conditionalFormatting sqref="K2:K999">
    <cfRule type="expression" dxfId="1" priority="1">
      <formula>$K2="active"</formula>
    </cfRule>
  </conditionalFormatting>
  <conditionalFormatting sqref="K2:K999">
    <cfRule type="expression" dxfId="1" priority="2">
      <formula>$K2="completed"</formula>
    </cfRule>
  </conditionalFormatting>
  <conditionalFormatting sqref="K2:K999">
    <cfRule type="expression" dxfId="1" priority="3">
      <formula>$K2="paid"</formula>
    </cfRule>
  </conditionalFormatting>
  <conditionalFormatting sqref="K2:K999">
    <cfRule type="expression" dxfId="1" priority="4">
      <formula>$K2="present"</formula>
    </cfRule>
  </conditionalFormatting>
  <conditionalFormatting sqref="K2:K999">
    <cfRule type="expression" dxfId="2" priority="5">
      <formula>$K2="inactive"</formula>
    </cfRule>
  </conditionalFormatting>
  <conditionalFormatting sqref="K2:K999">
    <cfRule type="expression" dxfId="3" priority="6">
      <formula>$K2="absent"</formula>
    </cfRule>
  </conditionalFormatting>
  <conditionalFormatting sqref="K2:K999">
    <cfRule type="expression" dxfId="4" priority="7">
      <formula>$K2="late"</formula>
    </cfRule>
  </conditionalFormatting>
  <conditionalFormatting sqref="K2:K999">
    <cfRule type="expression" dxfId="4" priority="8">
      <formula>$K2="pending"</formula>
    </cfRule>
  </conditionalFormatting>
  <conditionalFormatting sqref="K2:K999">
    <cfRule type="expression" dxfId="3" priority="9">
      <formula>$K2="cancelled"</formula>
    </cfRule>
  </conditionalFormatting>
  <dataValidations>
    <dataValidation type="list" allowBlank="1" sqref="H2:H500">
      <formula1>DanhMuc!$G$2:$G$100</formula1>
    </dataValidation>
    <dataValidation type="list" allowBlank="1" sqref="K2:K500">
      <formula1>DanhMuc!$F$2:$F$100</formula1>
    </dataValidation>
  </dataValidations>
  <printOptions/>
  <pageMargins bottom="0.75" footer="0.0" header="0.0" left="0.7" right="0.7" top="0.75"/>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C2626"/>
    <pageSetUpPr/>
  </sheetPr>
  <sheetViews>
    <sheetView showGridLines="0" workbookViewId="0">
      <pane ySplit="1" topLeftCell="A2" activePane="bottomLeft" state="frozen"/>
      <selection pane="bottomLeft"/>
    </sheetView>
  </sheetViews>
  <sheetFormatPr customHeight="1" defaultColWidth="12.63" defaultRowHeight="15.0"/>
  <cols>
    <col min="1" max="1" width="12" customWidth="1"/>
    <col min="2" max="2" width="13" customWidth="1"/>
    <col min="3" max="3" width="22" customWidth="1"/>
    <col min="4" max="4" width="10" customWidth="1"/>
    <col min="5" max="5" width="14" customWidth="1"/>
    <col min="6" max="6" width="42" customWidth="1"/>
    <col min="7" max="7" width="10" customWidth="1"/>
    <col min="8" max="8" width="10" customWidth="1"/>
    <col min="9" max="9" width="11" customWidth="1"/>
    <col min="10" max="10" width="42" customWidth="1"/>
    <col min="11" max="11" width="21" customWidth="1"/>
    <col min="12" max="12" width="21" customWidth="1"/>
  </cols>
  <sheetData>
    <row r="1" ht="31.5" customHeight="1">
      <c r="A1" s="3" t="s">
        <v>541</v>
      </c>
      <c r="B1" s="3" t="s">
        <v>542</v>
      </c>
      <c r="C1" s="3" t="s">
        <v>543</v>
      </c>
      <c r="D1" s="3" t="s">
        <v>544</v>
      </c>
      <c r="E1" s="3" t="s">
        <v>535</v>
      </c>
      <c r="F1" s="3" t="s">
        <v>500</v>
      </c>
      <c r="G1" s="3" t="s">
        <v>405</v>
      </c>
      <c r="H1" s="3" t="s">
        <v>391</v>
      </c>
      <c r="I1" s="3" t="s">
        <v>140</v>
      </c>
      <c r="J1" s="3" t="s">
        <v>145</v>
      </c>
      <c r="K1" s="3" t="s">
        <v>146</v>
      </c>
      <c r="L1" s="3" t="s">
        <v>113</v>
      </c>
    </row>
    <row r="2">
      <c r="A2" s="61"/>
      <c r="B2" s="62"/>
      <c r="C2" s="61"/>
      <c r="D2" s="61"/>
      <c r="E2" s="63"/>
      <c r="F2" s="61"/>
      <c r="G2" s="64"/>
      <c r="H2" s="61"/>
      <c r="I2" s="61"/>
      <c r="J2" s="61"/>
      <c r="K2" s="62"/>
      <c r="L2" s="62"/>
    </row>
    <row r="3">
      <c r="A3" s="61"/>
      <c r="B3" s="65"/>
      <c r="C3" s="61"/>
      <c r="D3" s="61"/>
      <c r="E3" s="63"/>
      <c r="F3" s="61"/>
      <c r="G3" s="61"/>
      <c r="H3" s="61"/>
      <c r="I3" s="61"/>
      <c r="J3" s="61"/>
      <c r="K3" s="66"/>
      <c r="L3" s="66"/>
    </row>
    <row r="4">
      <c r="A4" s="61"/>
      <c r="B4" s="65"/>
      <c r="C4" s="61"/>
      <c r="D4" s="61"/>
      <c r="E4" s="63"/>
      <c r="F4" s="61"/>
      <c r="G4" s="61"/>
      <c r="H4" s="61"/>
      <c r="I4" s="61"/>
      <c r="J4" s="61"/>
      <c r="K4" s="66"/>
      <c r="L4" s="66"/>
    </row>
    <row r="5">
      <c r="A5" s="61"/>
      <c r="B5" s="65"/>
      <c r="C5" s="61"/>
      <c r="D5" s="61"/>
      <c r="E5" s="63"/>
      <c r="F5" s="61"/>
      <c r="G5" s="61"/>
      <c r="H5" s="61"/>
      <c r="I5" s="61"/>
      <c r="J5" s="61"/>
      <c r="K5" s="66"/>
      <c r="L5" s="66"/>
    </row>
    <row r="6">
      <c r="A6" s="61"/>
      <c r="B6" s="65"/>
      <c r="C6" s="61"/>
      <c r="D6" s="61"/>
      <c r="E6" s="63"/>
      <c r="F6" s="61"/>
      <c r="G6" s="61"/>
      <c r="H6" s="61"/>
      <c r="I6" s="61"/>
      <c r="J6" s="61"/>
      <c r="K6" s="66"/>
      <c r="L6" s="66"/>
    </row>
    <row r="7">
      <c r="A7" s="61"/>
      <c r="B7" s="65"/>
      <c r="C7" s="61"/>
      <c r="D7" s="61"/>
      <c r="E7" s="63"/>
      <c r="F7" s="61"/>
      <c r="G7" s="61"/>
      <c r="H7" s="61"/>
      <c r="I7" s="61"/>
      <c r="J7" s="61"/>
      <c r="K7" s="66"/>
      <c r="L7" s="66"/>
    </row>
    <row r="8">
      <c r="A8" s="61"/>
      <c r="B8" s="65"/>
      <c r="C8" s="61"/>
      <c r="D8" s="61"/>
      <c r="E8" s="63"/>
      <c r="F8" s="61"/>
      <c r="G8" s="61"/>
      <c r="H8" s="61"/>
      <c r="I8" s="61"/>
      <c r="J8" s="61"/>
      <c r="K8" s="66"/>
      <c r="L8" s="66"/>
    </row>
    <row r="9">
      <c r="A9" s="61"/>
      <c r="B9" s="65"/>
      <c r="C9" s="61"/>
      <c r="D9" s="61"/>
      <c r="E9" s="63"/>
      <c r="F9" s="61"/>
      <c r="G9" s="61"/>
      <c r="H9" s="61"/>
      <c r="I9" s="61"/>
      <c r="J9" s="61"/>
      <c r="K9" s="66"/>
      <c r="L9" s="66"/>
    </row>
    <row r="10">
      <c r="A10" s="61"/>
      <c r="B10" s="65"/>
      <c r="C10" s="61"/>
      <c r="D10" s="61"/>
      <c r="E10" s="63"/>
      <c r="F10" s="61"/>
      <c r="G10" s="61"/>
      <c r="H10" s="61"/>
      <c r="I10" s="61"/>
      <c r="J10" s="61"/>
      <c r="K10" s="66"/>
      <c r="L10" s="66"/>
    </row>
    <row r="11">
      <c r="A11" s="61"/>
      <c r="B11" s="65"/>
      <c r="C11" s="61"/>
      <c r="D11" s="61"/>
      <c r="E11" s="63"/>
      <c r="F11" s="61"/>
      <c r="G11" s="61"/>
      <c r="H11" s="61"/>
      <c r="I11" s="61"/>
      <c r="J11" s="61"/>
      <c r="K11" s="66"/>
      <c r="L11" s="66"/>
    </row>
    <row r="12">
      <c r="A12" s="61"/>
      <c r="B12" s="65"/>
      <c r="C12" s="61"/>
      <c r="D12" s="61"/>
      <c r="E12" s="63"/>
      <c r="F12" s="61"/>
      <c r="G12" s="61"/>
      <c r="H12" s="61"/>
      <c r="I12" s="61"/>
      <c r="J12" s="61"/>
      <c r="K12" s="66"/>
      <c r="L12" s="66"/>
    </row>
    <row r="13">
      <c r="A13" s="61"/>
      <c r="B13" s="65"/>
      <c r="C13" s="61"/>
      <c r="D13" s="61"/>
      <c r="E13" s="63"/>
      <c r="F13" s="61"/>
      <c r="G13" s="61"/>
      <c r="H13" s="61"/>
      <c r="I13" s="61"/>
      <c r="J13" s="61"/>
      <c r="K13" s="66"/>
      <c r="L13" s="66"/>
    </row>
    <row r="14">
      <c r="A14" s="61"/>
      <c r="B14" s="65"/>
      <c r="C14" s="61"/>
      <c r="D14" s="61"/>
      <c r="E14" s="63"/>
      <c r="F14" s="61"/>
      <c r="G14" s="61"/>
      <c r="H14" s="61"/>
      <c r="I14" s="61"/>
      <c r="J14" s="61"/>
      <c r="K14" s="66"/>
      <c r="L14" s="66"/>
    </row>
    <row r="15">
      <c r="A15" s="61"/>
      <c r="B15" s="65"/>
      <c r="C15" s="61"/>
      <c r="D15" s="61"/>
      <c r="E15" s="63"/>
      <c r="F15" s="61"/>
      <c r="G15" s="61"/>
      <c r="H15" s="61"/>
      <c r="I15" s="61"/>
      <c r="J15" s="61"/>
      <c r="K15" s="66"/>
      <c r="L15" s="66"/>
    </row>
    <row r="16">
      <c r="A16" s="61"/>
      <c r="B16" s="65"/>
      <c r="C16" s="61"/>
      <c r="D16" s="61"/>
      <c r="E16" s="63"/>
      <c r="F16" s="61"/>
      <c r="G16" s="61"/>
      <c r="H16" s="61"/>
      <c r="I16" s="61"/>
      <c r="J16" s="61"/>
      <c r="K16" s="66"/>
      <c r="L16" s="66"/>
    </row>
    <row r="17">
      <c r="A17" s="61"/>
      <c r="B17" s="65"/>
      <c r="C17" s="61"/>
      <c r="D17" s="61"/>
      <c r="E17" s="63"/>
      <c r="F17" s="61"/>
      <c r="G17" s="61"/>
      <c r="H17" s="61"/>
      <c r="I17" s="61"/>
      <c r="J17" s="61"/>
      <c r="K17" s="66"/>
      <c r="L17" s="66"/>
    </row>
    <row r="18">
      <c r="A18" s="61"/>
      <c r="B18" s="65"/>
      <c r="C18" s="61"/>
      <c r="D18" s="61"/>
      <c r="E18" s="63"/>
      <c r="F18" s="61"/>
      <c r="G18" s="61"/>
      <c r="H18" s="61"/>
      <c r="I18" s="61"/>
      <c r="J18" s="61"/>
      <c r="K18" s="66"/>
      <c r="L18" s="66"/>
    </row>
    <row r="19">
      <c r="A19" s="61"/>
      <c r="B19" s="65"/>
      <c r="C19" s="61"/>
      <c r="D19" s="61"/>
      <c r="E19" s="63"/>
      <c r="F19" s="61"/>
      <c r="G19" s="61"/>
      <c r="H19" s="61"/>
      <c r="I19" s="61"/>
      <c r="J19" s="61"/>
      <c r="K19" s="66"/>
      <c r="L19" s="66"/>
    </row>
    <row r="20" ht="15.75" customHeight="1">
      <c r="A20" s="61"/>
      <c r="B20" s="65"/>
      <c r="C20" s="61"/>
      <c r="D20" s="61"/>
      <c r="E20" s="63"/>
      <c r="F20" s="61"/>
      <c r="G20" s="61"/>
      <c r="H20" s="61"/>
      <c r="I20" s="61"/>
      <c r="J20" s="61"/>
      <c r="K20" s="66"/>
      <c r="L20" s="66"/>
    </row>
    <row r="21" ht="15.75" customHeight="1">
      <c r="A21" s="61"/>
      <c r="B21" s="65"/>
      <c r="C21" s="61"/>
      <c r="D21" s="61"/>
      <c r="E21" s="63"/>
      <c r="F21" s="61"/>
      <c r="G21" s="61"/>
      <c r="H21" s="61"/>
      <c r="I21" s="61"/>
      <c r="J21" s="61"/>
      <c r="K21" s="66"/>
      <c r="L21" s="66"/>
    </row>
    <row r="22" ht="15.75" customHeight="1">
      <c r="A22" s="61"/>
      <c r="B22" s="65"/>
      <c r="C22" s="61"/>
      <c r="D22" s="61"/>
      <c r="E22" s="63"/>
      <c r="F22" s="61"/>
      <c r="G22" s="61"/>
      <c r="H22" s="61"/>
      <c r="I22" s="61"/>
      <c r="J22" s="61"/>
      <c r="K22" s="66"/>
      <c r="L22" s="66"/>
    </row>
    <row r="23" ht="15.75" customHeight="1">
      <c r="A23" s="61"/>
      <c r="B23" s="65"/>
      <c r="C23" s="61"/>
      <c r="D23" s="61"/>
      <c r="E23" s="63"/>
      <c r="F23" s="61"/>
      <c r="G23" s="61"/>
      <c r="H23" s="61"/>
      <c r="I23" s="61"/>
      <c r="J23" s="61"/>
      <c r="K23" s="66"/>
      <c r="L23" s="66"/>
    </row>
    <row r="24" ht="15.75" customHeight="1">
      <c r="A24" s="61"/>
      <c r="B24" s="65"/>
      <c r="C24" s="61"/>
      <c r="D24" s="61"/>
      <c r="E24" s="63"/>
      <c r="F24" s="61"/>
      <c r="G24" s="61"/>
      <c r="H24" s="61"/>
      <c r="I24" s="61"/>
      <c r="J24" s="61"/>
      <c r="K24" s="66"/>
      <c r="L24" s="66"/>
    </row>
    <row r="25" ht="15.75" customHeight="1">
      <c r="A25" s="61"/>
      <c r="B25" s="65"/>
      <c r="C25" s="61"/>
      <c r="D25" s="61"/>
      <c r="E25" s="63"/>
      <c r="F25" s="61"/>
      <c r="G25" s="61"/>
      <c r="H25" s="61"/>
      <c r="I25" s="61"/>
      <c r="J25" s="61"/>
      <c r="K25" s="66"/>
      <c r="L25" s="66"/>
    </row>
    <row r="26" ht="15.75" customHeight="1">
      <c r="A26" s="61"/>
      <c r="B26" s="65"/>
      <c r="C26" s="61"/>
      <c r="D26" s="61"/>
      <c r="E26" s="63"/>
      <c r="F26" s="61"/>
      <c r="G26" s="61"/>
      <c r="H26" s="61"/>
      <c r="I26" s="61"/>
      <c r="J26" s="61"/>
      <c r="K26" s="66"/>
      <c r="L26" s="66"/>
    </row>
    <row r="27" ht="15.75" customHeight="1">
      <c r="A27" s="61"/>
      <c r="B27" s="65"/>
      <c r="C27" s="61"/>
      <c r="D27" s="61"/>
      <c r="E27" s="63"/>
      <c r="F27" s="61"/>
      <c r="G27" s="61"/>
      <c r="H27" s="61"/>
      <c r="I27" s="61"/>
      <c r="J27" s="61"/>
      <c r="K27" s="66"/>
      <c r="L27" s="66"/>
    </row>
    <row r="28" ht="15.75" customHeight="1">
      <c r="A28" s="61"/>
      <c r="B28" s="65"/>
      <c r="C28" s="61"/>
      <c r="D28" s="61"/>
      <c r="E28" s="63"/>
      <c r="F28" s="61"/>
      <c r="G28" s="61"/>
      <c r="H28" s="61"/>
      <c r="I28" s="61"/>
      <c r="J28" s="61"/>
      <c r="K28" s="66"/>
      <c r="L28" s="66"/>
    </row>
    <row r="29" ht="15.75" customHeight="1">
      <c r="A29" s="61"/>
      <c r="B29" s="65"/>
      <c r="C29" s="61"/>
      <c r="D29" s="61"/>
      <c r="E29" s="63"/>
      <c r="F29" s="61"/>
      <c r="G29" s="61"/>
      <c r="H29" s="61"/>
      <c r="I29" s="61"/>
      <c r="J29" s="61"/>
      <c r="K29" s="66"/>
      <c r="L29" s="66"/>
    </row>
    <row r="30" ht="15.75" customHeight="1">
      <c r="A30" s="61"/>
      <c r="B30" s="65"/>
      <c r="C30" s="61"/>
      <c r="D30" s="61"/>
      <c r="E30" s="63"/>
      <c r="F30" s="61"/>
      <c r="G30" s="61"/>
      <c r="H30" s="61"/>
      <c r="I30" s="61"/>
      <c r="J30" s="61"/>
      <c r="K30" s="66"/>
      <c r="L30" s="66"/>
    </row>
    <row r="31" ht="15.75" customHeight="1">
      <c r="A31" s="61"/>
      <c r="B31" s="65"/>
      <c r="C31" s="61"/>
      <c r="D31" s="61"/>
      <c r="E31" s="63"/>
      <c r="F31" s="61"/>
      <c r="G31" s="61"/>
      <c r="H31" s="61"/>
      <c r="I31" s="61"/>
      <c r="J31" s="61"/>
      <c r="K31" s="66"/>
      <c r="L31" s="66"/>
    </row>
    <row r="32" ht="15.75" customHeight="1">
      <c r="A32" s="61"/>
      <c r="B32" s="65"/>
      <c r="C32" s="61"/>
      <c r="D32" s="61"/>
      <c r="E32" s="63"/>
      <c r="F32" s="61"/>
      <c r="G32" s="61"/>
      <c r="H32" s="61"/>
      <c r="I32" s="61"/>
      <c r="J32" s="61"/>
      <c r="K32" s="66"/>
      <c r="L32" s="66"/>
    </row>
    <row r="33" ht="15.75" customHeight="1">
      <c r="A33" s="61"/>
      <c r="B33" s="65"/>
      <c r="C33" s="61"/>
      <c r="D33" s="61"/>
      <c r="E33" s="63"/>
      <c r="F33" s="61"/>
      <c r="G33" s="61"/>
      <c r="H33" s="61"/>
      <c r="I33" s="61"/>
      <c r="J33" s="61"/>
      <c r="K33" s="66"/>
      <c r="L33" s="66"/>
    </row>
    <row r="34" ht="15.75" customHeight="1">
      <c r="A34" s="61"/>
      <c r="B34" s="65"/>
      <c r="C34" s="61"/>
      <c r="D34" s="61"/>
      <c r="E34" s="63"/>
      <c r="F34" s="61"/>
      <c r="G34" s="61"/>
      <c r="H34" s="61"/>
      <c r="I34" s="61"/>
      <c r="J34" s="61"/>
      <c r="K34" s="66"/>
      <c r="L34" s="66"/>
    </row>
    <row r="35" ht="15.75" customHeight="1">
      <c r="A35" s="61"/>
      <c r="B35" s="65"/>
      <c r="C35" s="61"/>
      <c r="D35" s="61"/>
      <c r="E35" s="63"/>
      <c r="F35" s="61"/>
      <c r="G35" s="61"/>
      <c r="H35" s="61"/>
      <c r="I35" s="61"/>
      <c r="J35" s="61"/>
      <c r="K35" s="66"/>
      <c r="L35" s="66"/>
    </row>
    <row r="36" ht="15.75" customHeight="1">
      <c r="A36" s="61"/>
      <c r="B36" s="65"/>
      <c r="C36" s="61"/>
      <c r="D36" s="61"/>
      <c r="E36" s="63"/>
      <c r="F36" s="61"/>
      <c r="G36" s="61"/>
      <c r="H36" s="61"/>
      <c r="I36" s="61"/>
      <c r="J36" s="61"/>
      <c r="K36" s="66"/>
      <c r="L36" s="66"/>
    </row>
    <row r="37" ht="15.75" customHeight="1">
      <c r="A37" s="61"/>
      <c r="B37" s="65"/>
      <c r="C37" s="61"/>
      <c r="D37" s="61"/>
      <c r="E37" s="63"/>
      <c r="F37" s="61"/>
      <c r="G37" s="61"/>
      <c r="H37" s="61"/>
      <c r="I37" s="61"/>
      <c r="J37" s="61"/>
      <c r="K37" s="66"/>
      <c r="L37" s="66"/>
    </row>
    <row r="38" ht="15.75" customHeight="1">
      <c r="A38" s="61"/>
      <c r="B38" s="65"/>
      <c r="C38" s="61"/>
      <c r="D38" s="61"/>
      <c r="E38" s="63"/>
      <c r="F38" s="61"/>
      <c r="G38" s="61"/>
      <c r="H38" s="61"/>
      <c r="I38" s="61"/>
      <c r="J38" s="61"/>
      <c r="K38" s="66"/>
      <c r="L38" s="66"/>
    </row>
    <row r="39" ht="15.75" customHeight="1">
      <c r="A39" s="61"/>
      <c r="B39" s="65"/>
      <c r="C39" s="61"/>
      <c r="D39" s="61"/>
      <c r="E39" s="63"/>
      <c r="F39" s="61"/>
      <c r="G39" s="61"/>
      <c r="H39" s="61"/>
      <c r="I39" s="61"/>
      <c r="J39" s="61"/>
      <c r="K39" s="66"/>
      <c r="L39" s="66"/>
    </row>
    <row r="40" ht="15.75" customHeight="1">
      <c r="A40" s="61"/>
      <c r="B40" s="65"/>
      <c r="C40" s="61"/>
      <c r="D40" s="61"/>
      <c r="E40" s="63"/>
      <c r="F40" s="61"/>
      <c r="G40" s="61"/>
      <c r="H40" s="61"/>
      <c r="I40" s="61"/>
      <c r="J40" s="61"/>
      <c r="K40" s="66"/>
      <c r="L40" s="66"/>
    </row>
    <row r="41" ht="15.75" customHeight="1">
      <c r="A41" s="61"/>
      <c r="B41" s="65"/>
      <c r="C41" s="61"/>
      <c r="D41" s="61"/>
      <c r="E41" s="63"/>
      <c r="F41" s="61"/>
      <c r="G41" s="61"/>
      <c r="H41" s="61"/>
      <c r="I41" s="61"/>
      <c r="J41" s="61"/>
      <c r="K41" s="66"/>
      <c r="L41" s="66"/>
    </row>
    <row r="42" ht="15.75" customHeight="1">
      <c r="A42" s="61"/>
      <c r="B42" s="65"/>
      <c r="C42" s="61"/>
      <c r="D42" s="61"/>
      <c r="E42" s="63"/>
      <c r="F42" s="61"/>
      <c r="G42" s="61"/>
      <c r="H42" s="61"/>
      <c r="I42" s="61"/>
      <c r="J42" s="61"/>
      <c r="K42" s="66"/>
      <c r="L42" s="66"/>
    </row>
    <row r="43" ht="15.75" customHeight="1">
      <c r="A43" s="61"/>
      <c r="B43" s="65"/>
      <c r="C43" s="61"/>
      <c r="D43" s="61"/>
      <c r="E43" s="63"/>
      <c r="F43" s="61"/>
      <c r="G43" s="61"/>
      <c r="H43" s="61"/>
      <c r="I43" s="61"/>
      <c r="J43" s="61"/>
      <c r="K43" s="66"/>
      <c r="L43" s="66"/>
    </row>
    <row r="44" ht="15.75" customHeight="1">
      <c r="A44" s="61"/>
      <c r="B44" s="65"/>
      <c r="C44" s="61"/>
      <c r="D44" s="61"/>
      <c r="E44" s="63"/>
      <c r="F44" s="61"/>
      <c r="G44" s="61"/>
      <c r="H44" s="61"/>
      <c r="I44" s="61"/>
      <c r="J44" s="61"/>
      <c r="K44" s="66"/>
      <c r="L44" s="66"/>
    </row>
    <row r="45" ht="15.75" customHeight="1">
      <c r="A45" s="61"/>
      <c r="B45" s="65"/>
      <c r="C45" s="61"/>
      <c r="D45" s="61"/>
      <c r="E45" s="63"/>
      <c r="F45" s="61"/>
      <c r="G45" s="61"/>
      <c r="H45" s="61"/>
      <c r="I45" s="61"/>
      <c r="J45" s="61"/>
      <c r="K45" s="66"/>
      <c r="L45" s="66"/>
    </row>
    <row r="46" ht="15.75" customHeight="1">
      <c r="A46" s="61"/>
      <c r="B46" s="65"/>
      <c r="C46" s="61"/>
      <c r="D46" s="61"/>
      <c r="E46" s="63"/>
      <c r="F46" s="61"/>
      <c r="G46" s="61"/>
      <c r="H46" s="61"/>
      <c r="I46" s="61"/>
      <c r="J46" s="61"/>
      <c r="K46" s="66"/>
      <c r="L46" s="66"/>
    </row>
    <row r="47" ht="15.75" customHeight="1">
      <c r="A47" s="61"/>
      <c r="B47" s="65"/>
      <c r="C47" s="61"/>
      <c r="D47" s="61"/>
      <c r="E47" s="63"/>
      <c r="F47" s="61"/>
      <c r="G47" s="61"/>
      <c r="H47" s="61"/>
      <c r="I47" s="61"/>
      <c r="J47" s="61"/>
      <c r="K47" s="66"/>
      <c r="L47" s="66"/>
    </row>
    <row r="48" ht="15.75" customHeight="1">
      <c r="A48" s="61"/>
      <c r="B48" s="65"/>
      <c r="C48" s="61"/>
      <c r="D48" s="61"/>
      <c r="E48" s="63"/>
      <c r="F48" s="61"/>
      <c r="G48" s="61"/>
      <c r="H48" s="61"/>
      <c r="I48" s="61"/>
      <c r="J48" s="61"/>
      <c r="K48" s="66"/>
      <c r="L48" s="66"/>
    </row>
    <row r="49" ht="15.75" customHeight="1">
      <c r="A49" s="61"/>
      <c r="B49" s="65"/>
      <c r="C49" s="61"/>
      <c r="D49" s="61"/>
      <c r="E49" s="63"/>
      <c r="F49" s="61"/>
      <c r="G49" s="61"/>
      <c r="H49" s="61"/>
      <c r="I49" s="61"/>
      <c r="J49" s="61"/>
      <c r="K49" s="66"/>
      <c r="L49" s="66"/>
    </row>
    <row r="50" ht="15.75" customHeight="1">
      <c r="A50" s="61"/>
      <c r="B50" s="65"/>
      <c r="C50" s="61"/>
      <c r="D50" s="61"/>
      <c r="E50" s="63"/>
      <c r="F50" s="61"/>
      <c r="G50" s="61"/>
      <c r="H50" s="61"/>
      <c r="I50" s="61"/>
      <c r="J50" s="61"/>
      <c r="K50" s="66"/>
      <c r="L50" s="66"/>
    </row>
    <row r="51" ht="15.75" customHeight="1">
      <c r="A51" s="61"/>
      <c r="B51" s="65"/>
      <c r="C51" s="61"/>
      <c r="D51" s="61"/>
      <c r="E51" s="63"/>
      <c r="F51" s="61"/>
      <c r="G51" s="61"/>
      <c r="H51" s="61"/>
      <c r="I51" s="61"/>
      <c r="J51" s="61"/>
      <c r="K51" s="66"/>
      <c r="L51" s="66"/>
    </row>
    <row r="52" ht="15.75" customHeight="1">
      <c r="A52" s="61"/>
      <c r="B52" s="65"/>
      <c r="C52" s="61"/>
      <c r="D52" s="61"/>
      <c r="E52" s="63"/>
      <c r="F52" s="61"/>
      <c r="G52" s="61"/>
      <c r="H52" s="61"/>
      <c r="I52" s="61"/>
      <c r="J52" s="61"/>
      <c r="K52" s="66"/>
      <c r="L52" s="66"/>
    </row>
    <row r="53" ht="15.75" customHeight="1">
      <c r="A53" s="61"/>
      <c r="B53" s="65"/>
      <c r="C53" s="61"/>
      <c r="D53" s="61"/>
      <c r="E53" s="63"/>
      <c r="F53" s="61"/>
      <c r="G53" s="61"/>
      <c r="H53" s="61"/>
      <c r="I53" s="61"/>
      <c r="J53" s="61"/>
      <c r="K53" s="66"/>
      <c r="L53" s="66"/>
    </row>
    <row r="54" ht="15.75" customHeight="1">
      <c r="A54" s="61"/>
      <c r="B54" s="65"/>
      <c r="C54" s="61"/>
      <c r="D54" s="61"/>
      <c r="E54" s="63"/>
      <c r="F54" s="61"/>
      <c r="G54" s="61"/>
      <c r="H54" s="61"/>
      <c r="I54" s="61"/>
      <c r="J54" s="61"/>
      <c r="K54" s="66"/>
      <c r="L54" s="66"/>
    </row>
    <row r="55" ht="15.75" customHeight="1">
      <c r="A55" s="61"/>
      <c r="B55" s="65"/>
      <c r="C55" s="61"/>
      <c r="D55" s="61"/>
      <c r="E55" s="63"/>
      <c r="F55" s="61"/>
      <c r="G55" s="61"/>
      <c r="H55" s="61"/>
      <c r="I55" s="61"/>
      <c r="J55" s="61"/>
      <c r="K55" s="66"/>
      <c r="L55" s="66"/>
    </row>
    <row r="56" ht="15.75" customHeight="1">
      <c r="A56" s="61"/>
      <c r="B56" s="65"/>
      <c r="C56" s="61"/>
      <c r="D56" s="61"/>
      <c r="E56" s="63"/>
      <c r="F56" s="61"/>
      <c r="G56" s="61"/>
      <c r="H56" s="61"/>
      <c r="I56" s="61"/>
      <c r="J56" s="61"/>
      <c r="K56" s="66"/>
      <c r="L56" s="66"/>
    </row>
    <row r="57" ht="15.75" customHeight="1">
      <c r="A57" s="61"/>
      <c r="B57" s="65"/>
      <c r="C57" s="61"/>
      <c r="D57" s="61"/>
      <c r="E57" s="63"/>
      <c r="F57" s="61"/>
      <c r="G57" s="61"/>
      <c r="H57" s="61"/>
      <c r="I57" s="61"/>
      <c r="J57" s="61"/>
      <c r="K57" s="66"/>
      <c r="L57" s="66"/>
    </row>
    <row r="58" ht="15.75" customHeight="1">
      <c r="A58" s="61"/>
      <c r="B58" s="65"/>
      <c r="C58" s="61"/>
      <c r="D58" s="61"/>
      <c r="E58" s="63"/>
      <c r="F58" s="61"/>
      <c r="G58" s="61"/>
      <c r="H58" s="61"/>
      <c r="I58" s="61"/>
      <c r="J58" s="61"/>
      <c r="K58" s="66"/>
      <c r="L58" s="66"/>
    </row>
    <row r="59" ht="15.75" customHeight="1">
      <c r="A59" s="61"/>
      <c r="B59" s="65"/>
      <c r="C59" s="61"/>
      <c r="D59" s="61"/>
      <c r="E59" s="63"/>
      <c r="F59" s="61"/>
      <c r="G59" s="61"/>
      <c r="H59" s="61"/>
      <c r="I59" s="61"/>
      <c r="J59" s="61"/>
      <c r="K59" s="66"/>
      <c r="L59" s="66"/>
    </row>
    <row r="60" ht="15.75" customHeight="1">
      <c r="A60" s="61"/>
      <c r="B60" s="65"/>
      <c r="C60" s="61"/>
      <c r="D60" s="61"/>
      <c r="E60" s="63"/>
      <c r="F60" s="61"/>
      <c r="G60" s="61"/>
      <c r="H60" s="61"/>
      <c r="I60" s="61"/>
      <c r="J60" s="61"/>
      <c r="K60" s="66"/>
      <c r="L60" s="66"/>
    </row>
    <row r="61" ht="15.75" customHeight="1">
      <c r="A61" s="61"/>
      <c r="B61" s="65"/>
      <c r="C61" s="61"/>
      <c r="D61" s="61"/>
      <c r="E61" s="63"/>
      <c r="F61" s="61"/>
      <c r="G61" s="61"/>
      <c r="H61" s="61"/>
      <c r="I61" s="61"/>
      <c r="J61" s="61"/>
      <c r="K61" s="66"/>
      <c r="L61" s="66"/>
    </row>
    <row r="62" ht="15.75" customHeight="1">
      <c r="A62" s="61"/>
      <c r="B62" s="65"/>
      <c r="C62" s="61"/>
      <c r="D62" s="61"/>
      <c r="E62" s="63"/>
      <c r="F62" s="61"/>
      <c r="G62" s="61"/>
      <c r="H62" s="61"/>
      <c r="I62" s="61"/>
      <c r="J62" s="61"/>
      <c r="K62" s="66"/>
      <c r="L62" s="66"/>
    </row>
    <row r="63" ht="15.75" customHeight="1">
      <c r="A63" s="61"/>
      <c r="B63" s="65"/>
      <c r="C63" s="61"/>
      <c r="D63" s="61"/>
      <c r="E63" s="63"/>
      <c r="F63" s="61"/>
      <c r="G63" s="61"/>
      <c r="H63" s="61"/>
      <c r="I63" s="61"/>
      <c r="J63" s="61"/>
      <c r="K63" s="66"/>
      <c r="L63" s="66"/>
    </row>
    <row r="64" ht="15.75" customHeight="1">
      <c r="A64" s="61"/>
      <c r="B64" s="65"/>
      <c r="C64" s="61"/>
      <c r="D64" s="61"/>
      <c r="E64" s="63"/>
      <c r="F64" s="61"/>
      <c r="G64" s="61"/>
      <c r="H64" s="61"/>
      <c r="I64" s="61"/>
      <c r="J64" s="61"/>
      <c r="K64" s="66"/>
      <c r="L64" s="66"/>
    </row>
    <row r="65" ht="15.75" customHeight="1">
      <c r="A65" s="61"/>
      <c r="B65" s="65"/>
      <c r="C65" s="61"/>
      <c r="D65" s="61"/>
      <c r="E65" s="63"/>
      <c r="F65" s="61"/>
      <c r="G65" s="61"/>
      <c r="H65" s="61"/>
      <c r="I65" s="61"/>
      <c r="J65" s="61"/>
      <c r="K65" s="66"/>
      <c r="L65" s="66"/>
    </row>
    <row r="66" ht="15.75" customHeight="1">
      <c r="A66" s="61"/>
      <c r="B66" s="65"/>
      <c r="C66" s="61"/>
      <c r="D66" s="61"/>
      <c r="E66" s="63"/>
      <c r="F66" s="61"/>
      <c r="G66" s="61"/>
      <c r="H66" s="61"/>
      <c r="I66" s="61"/>
      <c r="J66" s="61"/>
      <c r="K66" s="66"/>
      <c r="L66" s="66"/>
    </row>
    <row r="67" ht="15.75" customHeight="1">
      <c r="A67" s="61"/>
      <c r="B67" s="65"/>
      <c r="C67" s="61"/>
      <c r="D67" s="61"/>
      <c r="E67" s="63"/>
      <c r="F67" s="61"/>
      <c r="G67" s="61"/>
      <c r="H67" s="61"/>
      <c r="I67" s="61"/>
      <c r="J67" s="61"/>
      <c r="K67" s="66"/>
      <c r="L67" s="66"/>
    </row>
    <row r="68" ht="15.75" customHeight="1">
      <c r="A68" s="61"/>
      <c r="B68" s="65"/>
      <c r="C68" s="61"/>
      <c r="D68" s="61"/>
      <c r="E68" s="63"/>
      <c r="F68" s="61"/>
      <c r="G68" s="61"/>
      <c r="H68" s="61"/>
      <c r="I68" s="61"/>
      <c r="J68" s="61"/>
      <c r="K68" s="66"/>
      <c r="L68" s="66"/>
    </row>
    <row r="69" ht="15.75" customHeight="1">
      <c r="A69" s="61"/>
      <c r="B69" s="65"/>
      <c r="C69" s="61"/>
      <c r="D69" s="61"/>
      <c r="E69" s="63"/>
      <c r="F69" s="61"/>
      <c r="G69" s="61"/>
      <c r="H69" s="61"/>
      <c r="I69" s="61"/>
      <c r="J69" s="61"/>
      <c r="K69" s="66"/>
      <c r="L69" s="66"/>
    </row>
    <row r="70" ht="15.75" customHeight="1">
      <c r="A70" s="61"/>
      <c r="B70" s="65"/>
      <c r="C70" s="61"/>
      <c r="D70" s="61"/>
      <c r="E70" s="63"/>
      <c r="F70" s="61"/>
      <c r="G70" s="61"/>
      <c r="H70" s="61"/>
      <c r="I70" s="61"/>
      <c r="J70" s="61"/>
      <c r="K70" s="66"/>
      <c r="L70" s="66"/>
    </row>
    <row r="71" ht="15.75" customHeight="1">
      <c r="A71" s="61"/>
      <c r="B71" s="65"/>
      <c r="C71" s="61"/>
      <c r="D71" s="61"/>
      <c r="E71" s="63"/>
      <c r="F71" s="61"/>
      <c r="G71" s="61"/>
      <c r="H71" s="61"/>
      <c r="I71" s="61"/>
      <c r="J71" s="61"/>
      <c r="K71" s="66"/>
      <c r="L71" s="66"/>
    </row>
    <row r="72" ht="15.75" customHeight="1">
      <c r="A72" s="61"/>
      <c r="B72" s="65"/>
      <c r="C72" s="61"/>
      <c r="D72" s="61"/>
      <c r="E72" s="63"/>
      <c r="F72" s="61"/>
      <c r="G72" s="61"/>
      <c r="H72" s="61"/>
      <c r="I72" s="61"/>
      <c r="J72" s="61"/>
      <c r="K72" s="66"/>
      <c r="L72" s="66"/>
    </row>
    <row r="73" ht="15.75" customHeight="1">
      <c r="A73" s="61"/>
      <c r="B73" s="65"/>
      <c r="C73" s="61"/>
      <c r="D73" s="61"/>
      <c r="E73" s="63"/>
      <c r="F73" s="61"/>
      <c r="G73" s="61"/>
      <c r="H73" s="61"/>
      <c r="I73" s="61"/>
      <c r="J73" s="61"/>
      <c r="K73" s="66"/>
      <c r="L73" s="66"/>
    </row>
    <row r="74" ht="15.75" customHeight="1">
      <c r="A74" s="61"/>
      <c r="B74" s="65"/>
      <c r="C74" s="61"/>
      <c r="D74" s="61"/>
      <c r="E74" s="63"/>
      <c r="F74" s="61"/>
      <c r="G74" s="61"/>
      <c r="H74" s="61"/>
      <c r="I74" s="61"/>
      <c r="J74" s="61"/>
      <c r="K74" s="66"/>
      <c r="L74" s="66"/>
    </row>
    <row r="75" ht="15.75" customHeight="1">
      <c r="A75" s="61"/>
      <c r="B75" s="65"/>
      <c r="C75" s="61"/>
      <c r="D75" s="61"/>
      <c r="E75" s="63"/>
      <c r="F75" s="61"/>
      <c r="G75" s="61"/>
      <c r="H75" s="61"/>
      <c r="I75" s="61"/>
      <c r="J75" s="61"/>
      <c r="K75" s="66"/>
      <c r="L75" s="66"/>
    </row>
    <row r="76" ht="15.75" customHeight="1">
      <c r="A76" s="61"/>
      <c r="B76" s="65"/>
      <c r="C76" s="61"/>
      <c r="D76" s="61"/>
      <c r="E76" s="63"/>
      <c r="F76" s="61"/>
      <c r="G76" s="61"/>
      <c r="H76" s="61"/>
      <c r="I76" s="61"/>
      <c r="J76" s="61"/>
      <c r="K76" s="66"/>
      <c r="L76" s="66"/>
    </row>
    <row r="77" ht="15.75" customHeight="1">
      <c r="A77" s="61"/>
      <c r="B77" s="65"/>
      <c r="C77" s="61"/>
      <c r="D77" s="61"/>
      <c r="E77" s="63"/>
      <c r="F77" s="61"/>
      <c r="G77" s="61"/>
      <c r="H77" s="61"/>
      <c r="I77" s="61"/>
      <c r="J77" s="61"/>
      <c r="K77" s="66"/>
      <c r="L77" s="66"/>
    </row>
    <row r="78" ht="15.75" customHeight="1">
      <c r="A78" s="61"/>
      <c r="B78" s="65"/>
      <c r="C78" s="61"/>
      <c r="D78" s="61"/>
      <c r="E78" s="63"/>
      <c r="F78" s="61"/>
      <c r="G78" s="61"/>
      <c r="H78" s="61"/>
      <c r="I78" s="61"/>
      <c r="J78" s="61"/>
      <c r="K78" s="66"/>
      <c r="L78" s="66"/>
    </row>
    <row r="79" ht="15.75" customHeight="1">
      <c r="A79" s="61"/>
      <c r="B79" s="65"/>
      <c r="C79" s="61"/>
      <c r="D79" s="61"/>
      <c r="E79" s="63"/>
      <c r="F79" s="61"/>
      <c r="G79" s="61"/>
      <c r="H79" s="61"/>
      <c r="I79" s="61"/>
      <c r="J79" s="61"/>
      <c r="K79" s="66"/>
      <c r="L79" s="66"/>
    </row>
    <row r="80" ht="15.75" customHeight="1">
      <c r="A80" s="61"/>
      <c r="B80" s="65"/>
      <c r="C80" s="61"/>
      <c r="D80" s="61"/>
      <c r="E80" s="63"/>
      <c r="F80" s="61"/>
      <c r="G80" s="61"/>
      <c r="H80" s="61"/>
      <c r="I80" s="61"/>
      <c r="J80" s="61"/>
      <c r="K80" s="66"/>
      <c r="L80" s="66"/>
    </row>
    <row r="81" ht="15.75" customHeight="1">
      <c r="A81" s="61"/>
      <c r="B81" s="65"/>
      <c r="C81" s="61"/>
      <c r="D81" s="61"/>
      <c r="E81" s="63"/>
      <c r="F81" s="61"/>
      <c r="G81" s="61"/>
      <c r="H81" s="61"/>
      <c r="I81" s="61"/>
      <c r="J81" s="61"/>
      <c r="K81" s="66"/>
      <c r="L81" s="66"/>
    </row>
    <row r="82" ht="15.75" customHeight="1">
      <c r="A82" s="61"/>
      <c r="B82" s="65"/>
      <c r="C82" s="61"/>
      <c r="D82" s="61"/>
      <c r="E82" s="63"/>
      <c r="F82" s="61"/>
      <c r="G82" s="61"/>
      <c r="H82" s="61"/>
      <c r="I82" s="61"/>
      <c r="J82" s="61"/>
      <c r="K82" s="66"/>
      <c r="L82" s="66"/>
    </row>
    <row r="83" ht="15.75" customHeight="1">
      <c r="A83" s="61"/>
      <c r="B83" s="65"/>
      <c r="C83" s="61"/>
      <c r="D83" s="61"/>
      <c r="E83" s="63"/>
      <c r="F83" s="61"/>
      <c r="G83" s="61"/>
      <c r="H83" s="61"/>
      <c r="I83" s="61"/>
      <c r="J83" s="61"/>
      <c r="K83" s="66"/>
      <c r="L83" s="66"/>
    </row>
    <row r="84" ht="15.75" customHeight="1">
      <c r="A84" s="61"/>
      <c r="B84" s="65"/>
      <c r="C84" s="61"/>
      <c r="D84" s="61"/>
      <c r="E84" s="63"/>
      <c r="F84" s="61"/>
      <c r="G84" s="61"/>
      <c r="H84" s="61"/>
      <c r="I84" s="61"/>
      <c r="J84" s="61"/>
      <c r="K84" s="66"/>
      <c r="L84" s="66"/>
    </row>
    <row r="85" ht="15.75" customHeight="1">
      <c r="A85" s="61"/>
      <c r="B85" s="65"/>
      <c r="C85" s="61"/>
      <c r="D85" s="61"/>
      <c r="E85" s="63"/>
      <c r="F85" s="61"/>
      <c r="G85" s="61"/>
      <c r="H85" s="61"/>
      <c r="I85" s="61"/>
      <c r="J85" s="61"/>
      <c r="K85" s="66"/>
      <c r="L85" s="66"/>
    </row>
    <row r="86" ht="15.75" customHeight="1">
      <c r="A86" s="61"/>
      <c r="B86" s="65"/>
      <c r="C86" s="61"/>
      <c r="D86" s="61"/>
      <c r="E86" s="63"/>
      <c r="F86" s="61"/>
      <c r="G86" s="61"/>
      <c r="H86" s="61"/>
      <c r="I86" s="61"/>
      <c r="J86" s="61"/>
      <c r="K86" s="66"/>
      <c r="L86" s="66"/>
    </row>
    <row r="87" ht="15.75" customHeight="1">
      <c r="A87" s="61"/>
      <c r="B87" s="65"/>
      <c r="C87" s="61"/>
      <c r="D87" s="61"/>
      <c r="E87" s="63"/>
      <c r="F87" s="61"/>
      <c r="G87" s="61"/>
      <c r="H87" s="61"/>
      <c r="I87" s="61"/>
      <c r="J87" s="61"/>
      <c r="K87" s="66"/>
      <c r="L87" s="66"/>
    </row>
    <row r="88" ht="15.75" customHeight="1">
      <c r="A88" s="61"/>
      <c r="B88" s="65"/>
      <c r="C88" s="61"/>
      <c r="D88" s="61"/>
      <c r="E88" s="63"/>
      <c r="F88" s="61"/>
      <c r="G88" s="61"/>
      <c r="H88" s="61"/>
      <c r="I88" s="61"/>
      <c r="J88" s="61"/>
      <c r="K88" s="66"/>
      <c r="L88" s="66"/>
    </row>
    <row r="89" ht="15.75" customHeight="1">
      <c r="A89" s="61"/>
      <c r="B89" s="65"/>
      <c r="C89" s="61"/>
      <c r="D89" s="61"/>
      <c r="E89" s="63"/>
      <c r="F89" s="61"/>
      <c r="G89" s="61"/>
      <c r="H89" s="61"/>
      <c r="I89" s="61"/>
      <c r="J89" s="61"/>
      <c r="K89" s="66"/>
      <c r="L89" s="66"/>
    </row>
    <row r="90" ht="15.75" customHeight="1">
      <c r="A90" s="61"/>
      <c r="B90" s="65"/>
      <c r="C90" s="61"/>
      <c r="D90" s="61"/>
      <c r="E90" s="63"/>
      <c r="F90" s="61"/>
      <c r="G90" s="61"/>
      <c r="H90" s="61"/>
      <c r="I90" s="61"/>
      <c r="J90" s="61"/>
      <c r="K90" s="66"/>
      <c r="L90" s="66"/>
    </row>
    <row r="91" ht="15.75" customHeight="1">
      <c r="A91" s="61"/>
      <c r="B91" s="65"/>
      <c r="C91" s="61"/>
      <c r="D91" s="61"/>
      <c r="E91" s="63"/>
      <c r="F91" s="61"/>
      <c r="G91" s="61"/>
      <c r="H91" s="61"/>
      <c r="I91" s="61"/>
      <c r="J91" s="61"/>
      <c r="K91" s="66"/>
      <c r="L91" s="66"/>
    </row>
    <row r="92" ht="15.75" customHeight="1">
      <c r="A92" s="61"/>
      <c r="B92" s="65"/>
      <c r="C92" s="61"/>
      <c r="D92" s="61"/>
      <c r="E92" s="63"/>
      <c r="F92" s="61"/>
      <c r="G92" s="61"/>
      <c r="H92" s="61"/>
      <c r="I92" s="61"/>
      <c r="J92" s="61"/>
      <c r="K92" s="66"/>
      <c r="L92" s="66"/>
    </row>
    <row r="93" ht="15.75" customHeight="1">
      <c r="A93" s="61"/>
      <c r="B93" s="65"/>
      <c r="C93" s="61"/>
      <c r="D93" s="61"/>
      <c r="E93" s="63"/>
      <c r="F93" s="61"/>
      <c r="G93" s="61"/>
      <c r="H93" s="61"/>
      <c r="I93" s="61"/>
      <c r="J93" s="61"/>
      <c r="K93" s="66"/>
      <c r="L93" s="66"/>
    </row>
    <row r="94" ht="15.75" customHeight="1">
      <c r="A94" s="61"/>
      <c r="B94" s="65"/>
      <c r="C94" s="61"/>
      <c r="D94" s="61"/>
      <c r="E94" s="63"/>
      <c r="F94" s="61"/>
      <c r="G94" s="61"/>
      <c r="H94" s="61"/>
      <c r="I94" s="61"/>
      <c r="J94" s="61"/>
      <c r="K94" s="66"/>
      <c r="L94" s="66"/>
    </row>
    <row r="95" ht="15.75" customHeight="1">
      <c r="A95" s="61"/>
      <c r="B95" s="65"/>
      <c r="C95" s="61"/>
      <c r="D95" s="61"/>
      <c r="E95" s="63"/>
      <c r="F95" s="61"/>
      <c r="G95" s="61"/>
      <c r="H95" s="61"/>
      <c r="I95" s="61"/>
      <c r="J95" s="61"/>
      <c r="K95" s="66"/>
      <c r="L95" s="66"/>
    </row>
    <row r="96" ht="15.75" customHeight="1">
      <c r="A96" s="61"/>
      <c r="B96" s="65"/>
      <c r="C96" s="61"/>
      <c r="D96" s="61"/>
      <c r="E96" s="63"/>
      <c r="F96" s="61"/>
      <c r="G96" s="61"/>
      <c r="H96" s="61"/>
      <c r="I96" s="61"/>
      <c r="J96" s="61"/>
      <c r="K96" s="66"/>
      <c r="L96" s="66"/>
    </row>
    <row r="97" ht="15.75" customHeight="1">
      <c r="A97" s="61"/>
      <c r="B97" s="65"/>
      <c r="C97" s="61"/>
      <c r="D97" s="61"/>
      <c r="E97" s="63"/>
      <c r="F97" s="61"/>
      <c r="G97" s="61"/>
      <c r="H97" s="61"/>
      <c r="I97" s="61"/>
      <c r="J97" s="61"/>
      <c r="K97" s="66"/>
      <c r="L97" s="66"/>
    </row>
    <row r="98" ht="15.75" customHeight="1">
      <c r="A98" s="61"/>
      <c r="B98" s="65"/>
      <c r="C98" s="61"/>
      <c r="D98" s="61"/>
      <c r="E98" s="63"/>
      <c r="F98" s="61"/>
      <c r="G98" s="61"/>
      <c r="H98" s="61"/>
      <c r="I98" s="61"/>
      <c r="J98" s="61"/>
      <c r="K98" s="66"/>
      <c r="L98" s="66"/>
    </row>
    <row r="99" ht="15.75" customHeight="1">
      <c r="A99" s="61"/>
      <c r="B99" s="65"/>
      <c r="C99" s="61"/>
      <c r="D99" s="61"/>
      <c r="E99" s="63"/>
      <c r="F99" s="61"/>
      <c r="G99" s="61"/>
      <c r="H99" s="61"/>
      <c r="I99" s="61"/>
      <c r="J99" s="61"/>
      <c r="K99" s="66"/>
      <c r="L99" s="66"/>
    </row>
    <row r="100" ht="15.75" customHeight="1">
      <c r="A100" s="61"/>
      <c r="B100" s="65"/>
      <c r="C100" s="61"/>
      <c r="D100" s="61"/>
      <c r="E100" s="63"/>
      <c r="F100" s="61"/>
      <c r="G100" s="61"/>
      <c r="H100" s="61"/>
      <c r="I100" s="61"/>
      <c r="J100" s="61"/>
      <c r="K100" s="66"/>
      <c r="L100" s="66"/>
    </row>
    <row r="101" ht="15.75" customHeight="1">
      <c r="A101" s="61"/>
      <c r="B101" s="65"/>
      <c r="C101" s="61"/>
      <c r="D101" s="61"/>
      <c r="E101" s="63"/>
      <c r="F101" s="61"/>
      <c r="G101" s="61"/>
      <c r="H101" s="61"/>
      <c r="I101" s="61"/>
      <c r="J101" s="61"/>
      <c r="K101" s="66"/>
      <c r="L101" s="66"/>
    </row>
    <row r="102" ht="15.75" customHeight="1">
      <c r="A102" s="61"/>
      <c r="B102" s="65"/>
      <c r="C102" s="61"/>
      <c r="D102" s="61"/>
      <c r="E102" s="63"/>
      <c r="F102" s="61"/>
      <c r="G102" s="61"/>
      <c r="H102" s="61"/>
      <c r="I102" s="61"/>
      <c r="J102" s="61"/>
      <c r="K102" s="66"/>
      <c r="L102" s="66"/>
    </row>
    <row r="103" ht="15.75" customHeight="1">
      <c r="A103" s="61"/>
      <c r="B103" s="65"/>
      <c r="C103" s="61"/>
      <c r="D103" s="61"/>
      <c r="E103" s="63"/>
      <c r="F103" s="61"/>
      <c r="G103" s="61"/>
      <c r="H103" s="61"/>
      <c r="I103" s="61"/>
      <c r="J103" s="61"/>
      <c r="K103" s="66"/>
      <c r="L103" s="66"/>
    </row>
    <row r="104" ht="15.75" customHeight="1">
      <c r="A104" s="61"/>
      <c r="B104" s="65"/>
      <c r="C104" s="61"/>
      <c r="D104" s="61"/>
      <c r="E104" s="63"/>
      <c r="F104" s="61"/>
      <c r="G104" s="61"/>
      <c r="H104" s="61"/>
      <c r="I104" s="61"/>
      <c r="J104" s="61"/>
      <c r="K104" s="66"/>
      <c r="L104" s="66"/>
    </row>
    <row r="105" ht="15.75" customHeight="1">
      <c r="A105" s="61"/>
      <c r="B105" s="65"/>
      <c r="C105" s="61"/>
      <c r="D105" s="61"/>
      <c r="E105" s="63"/>
      <c r="F105" s="61"/>
      <c r="G105" s="61"/>
      <c r="H105" s="61"/>
      <c r="I105" s="61"/>
      <c r="J105" s="61"/>
      <c r="K105" s="66"/>
      <c r="L105" s="66"/>
    </row>
    <row r="106" ht="15.75" customHeight="1">
      <c r="A106" s="61"/>
      <c r="B106" s="65"/>
      <c r="C106" s="61"/>
      <c r="D106" s="61"/>
      <c r="E106" s="63"/>
      <c r="F106" s="61"/>
      <c r="G106" s="61"/>
      <c r="H106" s="61"/>
      <c r="I106" s="61"/>
      <c r="J106" s="61"/>
      <c r="K106" s="66"/>
      <c r="L106" s="66"/>
    </row>
    <row r="107" ht="15.75" customHeight="1">
      <c r="A107" s="61"/>
      <c r="B107" s="65"/>
      <c r="C107" s="61"/>
      <c r="D107" s="61"/>
      <c r="E107" s="63"/>
      <c r="F107" s="61"/>
      <c r="G107" s="61"/>
      <c r="H107" s="61"/>
      <c r="I107" s="61"/>
      <c r="J107" s="61"/>
      <c r="K107" s="66"/>
      <c r="L107" s="66"/>
    </row>
    <row r="108" ht="15.75" customHeight="1">
      <c r="A108" s="61"/>
      <c r="B108" s="65"/>
      <c r="C108" s="61"/>
      <c r="D108" s="61"/>
      <c r="E108" s="63"/>
      <c r="F108" s="61"/>
      <c r="G108" s="61"/>
      <c r="H108" s="61"/>
      <c r="I108" s="61"/>
      <c r="J108" s="61"/>
      <c r="K108" s="66"/>
      <c r="L108" s="66"/>
    </row>
    <row r="109" ht="15.75" customHeight="1">
      <c r="A109" s="61"/>
      <c r="B109" s="65"/>
      <c r="C109" s="61"/>
      <c r="D109" s="61"/>
      <c r="E109" s="63"/>
      <c r="F109" s="61"/>
      <c r="G109" s="61"/>
      <c r="H109" s="61"/>
      <c r="I109" s="61"/>
      <c r="J109" s="61"/>
      <c r="K109" s="66"/>
      <c r="L109" s="66"/>
    </row>
    <row r="110" ht="15.75" customHeight="1">
      <c r="A110" s="61"/>
      <c r="B110" s="65"/>
      <c r="C110" s="61"/>
      <c r="D110" s="61"/>
      <c r="E110" s="63"/>
      <c r="F110" s="61"/>
      <c r="G110" s="61"/>
      <c r="H110" s="61"/>
      <c r="I110" s="61"/>
      <c r="J110" s="61"/>
      <c r="K110" s="66"/>
      <c r="L110" s="66"/>
    </row>
    <row r="111" ht="15.75" customHeight="1">
      <c r="A111" s="61"/>
      <c r="B111" s="65"/>
      <c r="C111" s="61"/>
      <c r="D111" s="61"/>
      <c r="E111" s="63"/>
      <c r="F111" s="61"/>
      <c r="G111" s="61"/>
      <c r="H111" s="61"/>
      <c r="I111" s="61"/>
      <c r="J111" s="61"/>
      <c r="K111" s="66"/>
      <c r="L111" s="66"/>
    </row>
    <row r="112" ht="15.75" customHeight="1">
      <c r="A112" s="61"/>
      <c r="B112" s="65"/>
      <c r="C112" s="61"/>
      <c r="D112" s="61"/>
      <c r="E112" s="63"/>
      <c r="F112" s="61"/>
      <c r="G112" s="61"/>
      <c r="H112" s="61"/>
      <c r="I112" s="61"/>
      <c r="J112" s="61"/>
      <c r="K112" s="66"/>
      <c r="L112" s="66"/>
    </row>
    <row r="113" ht="15.75" customHeight="1">
      <c r="A113" s="61"/>
      <c r="B113" s="65"/>
      <c r="C113" s="61"/>
      <c r="D113" s="61"/>
      <c r="E113" s="63"/>
      <c r="F113" s="61"/>
      <c r="G113" s="61"/>
      <c r="H113" s="61"/>
      <c r="I113" s="61"/>
      <c r="J113" s="61"/>
      <c r="K113" s="66"/>
      <c r="L113" s="66"/>
    </row>
    <row r="114" ht="15.75" customHeight="1">
      <c r="A114" s="61"/>
      <c r="B114" s="65"/>
      <c r="C114" s="61"/>
      <c r="D114" s="61"/>
      <c r="E114" s="63"/>
      <c r="F114" s="61"/>
      <c r="G114" s="61"/>
      <c r="H114" s="61"/>
      <c r="I114" s="61"/>
      <c r="J114" s="61"/>
      <c r="K114" s="66"/>
      <c r="L114" s="66"/>
    </row>
    <row r="115" ht="15.75" customHeight="1">
      <c r="A115" s="61"/>
      <c r="B115" s="65"/>
      <c r="C115" s="61"/>
      <c r="D115" s="61"/>
      <c r="E115" s="63"/>
      <c r="F115" s="61"/>
      <c r="G115" s="61"/>
      <c r="H115" s="61"/>
      <c r="I115" s="61"/>
      <c r="J115" s="61"/>
      <c r="K115" s="66"/>
      <c r="L115" s="66"/>
    </row>
    <row r="116" ht="15.75" customHeight="1">
      <c r="A116" s="61"/>
      <c r="B116" s="65"/>
      <c r="C116" s="61"/>
      <c r="D116" s="61"/>
      <c r="E116" s="63"/>
      <c r="F116" s="61"/>
      <c r="G116" s="61"/>
      <c r="H116" s="61"/>
      <c r="I116" s="61"/>
      <c r="J116" s="61"/>
      <c r="K116" s="66"/>
      <c r="L116" s="66"/>
    </row>
    <row r="117" ht="15.75" customHeight="1">
      <c r="A117" s="61"/>
      <c r="B117" s="65"/>
      <c r="C117" s="61"/>
      <c r="D117" s="61"/>
      <c r="E117" s="63"/>
      <c r="F117" s="61"/>
      <c r="G117" s="61"/>
      <c r="H117" s="61"/>
      <c r="I117" s="61"/>
      <c r="J117" s="61"/>
      <c r="K117" s="66"/>
      <c r="L117" s="66"/>
    </row>
    <row r="118" ht="15.75" customHeight="1">
      <c r="A118" s="61"/>
      <c r="B118" s="65"/>
      <c r="C118" s="61"/>
      <c r="D118" s="61"/>
      <c r="E118" s="63"/>
      <c r="F118" s="61"/>
      <c r="G118" s="61"/>
      <c r="H118" s="61"/>
      <c r="I118" s="61"/>
      <c r="J118" s="61"/>
      <c r="K118" s="66"/>
      <c r="L118" s="66"/>
    </row>
    <row r="119" ht="15.75" customHeight="1">
      <c r="A119" s="61"/>
      <c r="B119" s="65"/>
      <c r="C119" s="61"/>
      <c r="D119" s="61"/>
      <c r="E119" s="63"/>
      <c r="F119" s="61"/>
      <c r="G119" s="61"/>
      <c r="H119" s="61"/>
      <c r="I119" s="61"/>
      <c r="J119" s="61"/>
      <c r="K119" s="66"/>
      <c r="L119" s="66"/>
    </row>
    <row r="120" ht="15.75" customHeight="1">
      <c r="A120" s="61"/>
      <c r="B120" s="65"/>
      <c r="C120" s="61"/>
      <c r="D120" s="61"/>
      <c r="E120" s="63"/>
      <c r="F120" s="61"/>
      <c r="G120" s="61"/>
      <c r="H120" s="61"/>
      <c r="I120" s="61"/>
      <c r="J120" s="61"/>
      <c r="K120" s="66"/>
      <c r="L120" s="66"/>
    </row>
    <row r="121" ht="15.75" customHeight="1">
      <c r="A121" s="61"/>
      <c r="B121" s="65"/>
      <c r="C121" s="61"/>
      <c r="D121" s="61"/>
      <c r="E121" s="63"/>
      <c r="F121" s="61"/>
      <c r="G121" s="61"/>
      <c r="H121" s="61"/>
      <c r="I121" s="61"/>
      <c r="J121" s="61"/>
      <c r="K121" s="66"/>
      <c r="L121" s="66"/>
    </row>
    <row r="122" ht="15.75" customHeight="1">
      <c r="A122" s="61"/>
      <c r="B122" s="65"/>
      <c r="C122" s="61"/>
      <c r="D122" s="61"/>
      <c r="E122" s="63"/>
      <c r="F122" s="61"/>
      <c r="G122" s="61"/>
      <c r="H122" s="61"/>
      <c r="I122" s="61"/>
      <c r="J122" s="61"/>
      <c r="K122" s="66"/>
      <c r="L122" s="66"/>
    </row>
    <row r="123" ht="15.75" customHeight="1">
      <c r="A123" s="61"/>
      <c r="B123" s="65"/>
      <c r="C123" s="61"/>
      <c r="D123" s="61"/>
      <c r="E123" s="63"/>
      <c r="F123" s="61"/>
      <c r="G123" s="61"/>
      <c r="H123" s="61"/>
      <c r="I123" s="61"/>
      <c r="J123" s="61"/>
      <c r="K123" s="66"/>
      <c r="L123" s="66"/>
    </row>
    <row r="124" ht="15.75" customHeight="1">
      <c r="A124" s="61"/>
      <c r="B124" s="65"/>
      <c r="C124" s="61"/>
      <c r="D124" s="61"/>
      <c r="E124" s="63"/>
      <c r="F124" s="61"/>
      <c r="G124" s="61"/>
      <c r="H124" s="61"/>
      <c r="I124" s="61"/>
      <c r="J124" s="61"/>
      <c r="K124" s="66"/>
      <c r="L124" s="66"/>
    </row>
    <row r="125" ht="15.75" customHeight="1">
      <c r="A125" s="61"/>
      <c r="B125" s="65"/>
      <c r="C125" s="61"/>
      <c r="D125" s="61"/>
      <c r="E125" s="63"/>
      <c r="F125" s="61"/>
      <c r="G125" s="61"/>
      <c r="H125" s="61"/>
      <c r="I125" s="61"/>
      <c r="J125" s="61"/>
      <c r="K125" s="66"/>
      <c r="L125" s="66"/>
    </row>
    <row r="126" ht="15.75" customHeight="1">
      <c r="A126" s="61"/>
      <c r="B126" s="65"/>
      <c r="C126" s="61"/>
      <c r="D126" s="61"/>
      <c r="E126" s="63"/>
      <c r="F126" s="61"/>
      <c r="G126" s="61"/>
      <c r="H126" s="61"/>
      <c r="I126" s="61"/>
      <c r="J126" s="61"/>
      <c r="K126" s="66"/>
      <c r="L126" s="66"/>
    </row>
    <row r="127" ht="15.75" customHeight="1">
      <c r="A127" s="61"/>
      <c r="B127" s="65"/>
      <c r="C127" s="61"/>
      <c r="D127" s="61"/>
      <c r="E127" s="63"/>
      <c r="F127" s="61"/>
      <c r="G127" s="61"/>
      <c r="H127" s="61"/>
      <c r="I127" s="61"/>
      <c r="J127" s="61"/>
      <c r="K127" s="66"/>
      <c r="L127" s="66"/>
    </row>
    <row r="128" ht="15.75" customHeight="1">
      <c r="A128" s="61"/>
      <c r="B128" s="65"/>
      <c r="C128" s="61"/>
      <c r="D128" s="61"/>
      <c r="E128" s="63"/>
      <c r="F128" s="61"/>
      <c r="G128" s="61"/>
      <c r="H128" s="61"/>
      <c r="I128" s="61"/>
      <c r="J128" s="61"/>
      <c r="K128" s="66"/>
      <c r="L128" s="66"/>
    </row>
    <row r="129" ht="15.75" customHeight="1">
      <c r="A129" s="61"/>
      <c r="B129" s="65"/>
      <c r="C129" s="61"/>
      <c r="D129" s="61"/>
      <c r="E129" s="63"/>
      <c r="F129" s="61"/>
      <c r="G129" s="61"/>
      <c r="H129" s="61"/>
      <c r="I129" s="61"/>
      <c r="J129" s="61"/>
      <c r="K129" s="66"/>
      <c r="L129" s="66"/>
    </row>
    <row r="130" ht="15.75" customHeight="1">
      <c r="A130" s="61"/>
      <c r="B130" s="65"/>
      <c r="C130" s="61"/>
      <c r="D130" s="61"/>
      <c r="E130" s="63"/>
      <c r="F130" s="61"/>
      <c r="G130" s="61"/>
      <c r="H130" s="61"/>
      <c r="I130" s="61"/>
      <c r="J130" s="61"/>
      <c r="K130" s="66"/>
      <c r="L130" s="66"/>
    </row>
    <row r="131" ht="15.75" customHeight="1">
      <c r="A131" s="61"/>
      <c r="B131" s="65"/>
      <c r="C131" s="61"/>
      <c r="D131" s="61"/>
      <c r="E131" s="63"/>
      <c r="F131" s="61"/>
      <c r="G131" s="61"/>
      <c r="H131" s="61"/>
      <c r="I131" s="61"/>
      <c r="J131" s="61"/>
      <c r="K131" s="66"/>
      <c r="L131" s="66"/>
    </row>
    <row r="132" ht="15.75" customHeight="1">
      <c r="A132" s="61"/>
      <c r="B132" s="65"/>
      <c r="C132" s="61"/>
      <c r="D132" s="61"/>
      <c r="E132" s="63"/>
      <c r="F132" s="61"/>
      <c r="G132" s="61"/>
      <c r="H132" s="61"/>
      <c r="I132" s="61"/>
      <c r="J132" s="61"/>
      <c r="K132" s="66"/>
      <c r="L132" s="66"/>
    </row>
    <row r="133" ht="15.75" customHeight="1">
      <c r="A133" s="61"/>
      <c r="B133" s="65"/>
      <c r="C133" s="61"/>
      <c r="D133" s="61"/>
      <c r="E133" s="63"/>
      <c r="F133" s="61"/>
      <c r="G133" s="61"/>
      <c r="H133" s="61"/>
      <c r="I133" s="61"/>
      <c r="J133" s="61"/>
      <c r="K133" s="66"/>
      <c r="L133" s="66"/>
    </row>
    <row r="134" ht="15.75" customHeight="1">
      <c r="A134" s="61"/>
      <c r="B134" s="65"/>
      <c r="C134" s="61"/>
      <c r="D134" s="61"/>
      <c r="E134" s="63"/>
      <c r="F134" s="61"/>
      <c r="G134" s="61"/>
      <c r="H134" s="61"/>
      <c r="I134" s="61"/>
      <c r="J134" s="61"/>
      <c r="K134" s="66"/>
      <c r="L134" s="66"/>
    </row>
    <row r="135" ht="15.75" customHeight="1">
      <c r="A135" s="61"/>
      <c r="B135" s="65"/>
      <c r="C135" s="61"/>
      <c r="D135" s="61"/>
      <c r="E135" s="63"/>
      <c r="F135" s="61"/>
      <c r="G135" s="61"/>
      <c r="H135" s="61"/>
      <c r="I135" s="61"/>
      <c r="J135" s="61"/>
      <c r="K135" s="66"/>
      <c r="L135" s="66"/>
    </row>
    <row r="136" ht="15.75" customHeight="1">
      <c r="A136" s="61"/>
      <c r="B136" s="65"/>
      <c r="C136" s="61"/>
      <c r="D136" s="61"/>
      <c r="E136" s="63"/>
      <c r="F136" s="61"/>
      <c r="G136" s="61"/>
      <c r="H136" s="61"/>
      <c r="I136" s="61"/>
      <c r="J136" s="61"/>
      <c r="K136" s="66"/>
      <c r="L136" s="66"/>
    </row>
    <row r="137" ht="15.75" customHeight="1">
      <c r="A137" s="61"/>
      <c r="B137" s="65"/>
      <c r="C137" s="61"/>
      <c r="D137" s="61"/>
      <c r="E137" s="63"/>
      <c r="F137" s="61"/>
      <c r="G137" s="61"/>
      <c r="H137" s="61"/>
      <c r="I137" s="61"/>
      <c r="J137" s="61"/>
      <c r="K137" s="66"/>
      <c r="L137" s="66"/>
    </row>
    <row r="138" ht="15.75" customHeight="1">
      <c r="A138" s="61"/>
      <c r="B138" s="65"/>
      <c r="C138" s="61"/>
      <c r="D138" s="61"/>
      <c r="E138" s="63"/>
      <c r="F138" s="61"/>
      <c r="G138" s="61"/>
      <c r="H138" s="61"/>
      <c r="I138" s="61"/>
      <c r="J138" s="61"/>
      <c r="K138" s="66"/>
      <c r="L138" s="66"/>
    </row>
    <row r="139" ht="15.75" customHeight="1">
      <c r="A139" s="61"/>
      <c r="B139" s="65"/>
      <c r="C139" s="61"/>
      <c r="D139" s="61"/>
      <c r="E139" s="63"/>
      <c r="F139" s="61"/>
      <c r="G139" s="61"/>
      <c r="H139" s="61"/>
      <c r="I139" s="61"/>
      <c r="J139" s="61"/>
      <c r="K139" s="66"/>
      <c r="L139" s="66"/>
    </row>
    <row r="140" ht="15.75" customHeight="1">
      <c r="A140" s="61"/>
      <c r="B140" s="65"/>
      <c r="C140" s="61"/>
      <c r="D140" s="61"/>
      <c r="E140" s="63"/>
      <c r="F140" s="61"/>
      <c r="G140" s="61"/>
      <c r="H140" s="61"/>
      <c r="I140" s="61"/>
      <c r="J140" s="61"/>
      <c r="K140" s="66"/>
      <c r="L140" s="66"/>
    </row>
    <row r="141" ht="15.75" customHeight="1">
      <c r="A141" s="61"/>
      <c r="B141" s="65"/>
      <c r="C141" s="61"/>
      <c r="D141" s="61"/>
      <c r="E141" s="63"/>
      <c r="F141" s="61"/>
      <c r="G141" s="61"/>
      <c r="H141" s="61"/>
      <c r="I141" s="61"/>
      <c r="J141" s="61"/>
      <c r="K141" s="66"/>
      <c r="L141" s="66"/>
    </row>
    <row r="142" ht="15.75" customHeight="1">
      <c r="A142" s="61"/>
      <c r="B142" s="65"/>
      <c r="C142" s="61"/>
      <c r="D142" s="61"/>
      <c r="E142" s="63"/>
      <c r="F142" s="61"/>
      <c r="G142" s="61"/>
      <c r="H142" s="61"/>
      <c r="I142" s="61"/>
      <c r="J142" s="61"/>
      <c r="K142" s="66"/>
      <c r="L142" s="66"/>
    </row>
    <row r="143" ht="15.75" customHeight="1">
      <c r="A143" s="61"/>
      <c r="B143" s="65"/>
      <c r="C143" s="61"/>
      <c r="D143" s="61"/>
      <c r="E143" s="63"/>
      <c r="F143" s="61"/>
      <c r="G143" s="61"/>
      <c r="H143" s="61"/>
      <c r="I143" s="61"/>
      <c r="J143" s="61"/>
      <c r="K143" s="66"/>
      <c r="L143" s="66"/>
    </row>
    <row r="144" ht="15.75" customHeight="1">
      <c r="A144" s="61"/>
      <c r="B144" s="65"/>
      <c r="C144" s="61"/>
      <c r="D144" s="61"/>
      <c r="E144" s="63"/>
      <c r="F144" s="61"/>
      <c r="G144" s="61"/>
      <c r="H144" s="61"/>
      <c r="I144" s="61"/>
      <c r="J144" s="61"/>
      <c r="K144" s="66"/>
      <c r="L144" s="66"/>
    </row>
    <row r="145" ht="15.75" customHeight="1">
      <c r="A145" s="61"/>
      <c r="B145" s="65"/>
      <c r="C145" s="61"/>
      <c r="D145" s="61"/>
      <c r="E145" s="63"/>
      <c r="F145" s="61"/>
      <c r="G145" s="61"/>
      <c r="H145" s="61"/>
      <c r="I145" s="61"/>
      <c r="J145" s="61"/>
      <c r="K145" s="66"/>
      <c r="L145" s="66"/>
    </row>
    <row r="146" ht="15.75" customHeight="1">
      <c r="A146" s="61"/>
      <c r="B146" s="65"/>
      <c r="C146" s="61"/>
      <c r="D146" s="61"/>
      <c r="E146" s="63"/>
      <c r="F146" s="61"/>
      <c r="G146" s="61"/>
      <c r="H146" s="61"/>
      <c r="I146" s="61"/>
      <c r="J146" s="61"/>
      <c r="K146" s="66"/>
      <c r="L146" s="66"/>
    </row>
    <row r="147" ht="15.75" customHeight="1">
      <c r="A147" s="61"/>
      <c r="B147" s="65"/>
      <c r="C147" s="61"/>
      <c r="D147" s="61"/>
      <c r="E147" s="63"/>
      <c r="F147" s="61"/>
      <c r="G147" s="61"/>
      <c r="H147" s="61"/>
      <c r="I147" s="61"/>
      <c r="J147" s="61"/>
      <c r="K147" s="66"/>
      <c r="L147" s="66"/>
    </row>
    <row r="148" ht="15.75" customHeight="1">
      <c r="A148" s="61"/>
      <c r="B148" s="65"/>
      <c r="C148" s="61"/>
      <c r="D148" s="61"/>
      <c r="E148" s="63"/>
      <c r="F148" s="61"/>
      <c r="G148" s="61"/>
      <c r="H148" s="61"/>
      <c r="I148" s="61"/>
      <c r="J148" s="61"/>
      <c r="K148" s="66"/>
      <c r="L148" s="66"/>
    </row>
    <row r="149" ht="15.75" customHeight="1">
      <c r="A149" s="61"/>
      <c r="B149" s="65"/>
      <c r="C149" s="61"/>
      <c r="D149" s="61"/>
      <c r="E149" s="63"/>
      <c r="F149" s="61"/>
      <c r="G149" s="61"/>
      <c r="H149" s="61"/>
      <c r="I149" s="61"/>
      <c r="J149" s="61"/>
      <c r="K149" s="66"/>
      <c r="L149" s="66"/>
    </row>
    <row r="150" ht="15.75" customHeight="1">
      <c r="A150" s="61"/>
      <c r="B150" s="65"/>
      <c r="C150" s="61"/>
      <c r="D150" s="61"/>
      <c r="E150" s="63"/>
      <c r="F150" s="61"/>
      <c r="G150" s="61"/>
      <c r="H150" s="61"/>
      <c r="I150" s="61"/>
      <c r="J150" s="61"/>
      <c r="K150" s="66"/>
      <c r="L150" s="66"/>
    </row>
    <row r="151" ht="15.75" customHeight="1">
      <c r="A151" s="61"/>
      <c r="B151" s="65"/>
      <c r="C151" s="61"/>
      <c r="D151" s="61"/>
      <c r="E151" s="63"/>
      <c r="F151" s="61"/>
      <c r="G151" s="61"/>
      <c r="H151" s="61"/>
      <c r="I151" s="61"/>
      <c r="J151" s="61"/>
      <c r="K151" s="66"/>
      <c r="L151" s="66"/>
    </row>
    <row r="152" ht="15.75" customHeight="1">
      <c r="A152" s="61"/>
      <c r="B152" s="65"/>
      <c r="C152" s="61"/>
      <c r="D152" s="61"/>
      <c r="E152" s="63"/>
      <c r="F152" s="61"/>
      <c r="G152" s="61"/>
      <c r="H152" s="61"/>
      <c r="I152" s="61"/>
      <c r="J152" s="61"/>
      <c r="K152" s="66"/>
      <c r="L152" s="66"/>
    </row>
    <row r="153" ht="15.75" customHeight="1">
      <c r="A153" s="61"/>
      <c r="B153" s="65"/>
      <c r="C153" s="61"/>
      <c r="D153" s="61"/>
      <c r="E153" s="63"/>
      <c r="F153" s="61"/>
      <c r="G153" s="61"/>
      <c r="H153" s="61"/>
      <c r="I153" s="61"/>
      <c r="J153" s="61"/>
      <c r="K153" s="66"/>
      <c r="L153" s="66"/>
    </row>
    <row r="154" ht="15.75" customHeight="1">
      <c r="A154" s="61"/>
      <c r="B154" s="65"/>
      <c r="C154" s="61"/>
      <c r="D154" s="61"/>
      <c r="E154" s="63"/>
      <c r="F154" s="61"/>
      <c r="G154" s="61"/>
      <c r="H154" s="61"/>
      <c r="I154" s="61"/>
      <c r="J154" s="61"/>
      <c r="K154" s="66"/>
      <c r="L154" s="66"/>
    </row>
    <row r="155" ht="15.75" customHeight="1">
      <c r="A155" s="61"/>
      <c r="B155" s="65"/>
      <c r="C155" s="61"/>
      <c r="D155" s="61"/>
      <c r="E155" s="63"/>
      <c r="F155" s="61"/>
      <c r="G155" s="61"/>
      <c r="H155" s="61"/>
      <c r="I155" s="61"/>
      <c r="J155" s="61"/>
      <c r="K155" s="66"/>
      <c r="L155" s="66"/>
    </row>
    <row r="156" ht="15.75" customHeight="1">
      <c r="A156" s="61"/>
      <c r="B156" s="65"/>
      <c r="C156" s="61"/>
      <c r="D156" s="61"/>
      <c r="E156" s="63"/>
      <c r="F156" s="61"/>
      <c r="G156" s="61"/>
      <c r="H156" s="61"/>
      <c r="I156" s="61"/>
      <c r="J156" s="61"/>
      <c r="K156" s="66"/>
      <c r="L156" s="66"/>
    </row>
    <row r="157" ht="15.75" customHeight="1">
      <c r="A157" s="61"/>
      <c r="B157" s="65"/>
      <c r="C157" s="61"/>
      <c r="D157" s="61"/>
      <c r="E157" s="63"/>
      <c r="F157" s="61"/>
      <c r="G157" s="61"/>
      <c r="H157" s="61"/>
      <c r="I157" s="61"/>
      <c r="J157" s="61"/>
      <c r="K157" s="66"/>
      <c r="L157" s="66"/>
    </row>
    <row r="158" ht="15.75" customHeight="1">
      <c r="A158" s="61"/>
      <c r="B158" s="65"/>
      <c r="C158" s="61"/>
      <c r="D158" s="61"/>
      <c r="E158" s="63"/>
      <c r="F158" s="61"/>
      <c r="G158" s="61"/>
      <c r="H158" s="61"/>
      <c r="I158" s="61"/>
      <c r="J158" s="61"/>
      <c r="K158" s="66"/>
      <c r="L158" s="66"/>
    </row>
    <row r="159" ht="15.75" customHeight="1">
      <c r="A159" s="61"/>
      <c r="B159" s="65"/>
      <c r="C159" s="61"/>
      <c r="D159" s="61"/>
      <c r="E159" s="63"/>
      <c r="F159" s="61"/>
      <c r="G159" s="61"/>
      <c r="H159" s="61"/>
      <c r="I159" s="61"/>
      <c r="J159" s="61"/>
      <c r="K159" s="66"/>
      <c r="L159" s="66"/>
    </row>
    <row r="160" ht="15.75" customHeight="1">
      <c r="A160" s="61"/>
      <c r="B160" s="65"/>
      <c r="C160" s="61"/>
      <c r="D160" s="61"/>
      <c r="E160" s="63"/>
      <c r="F160" s="61"/>
      <c r="G160" s="61"/>
      <c r="H160" s="61"/>
      <c r="I160" s="61"/>
      <c r="J160" s="61"/>
      <c r="K160" s="66"/>
      <c r="L160" s="66"/>
    </row>
    <row r="161" ht="15.75" customHeight="1">
      <c r="A161" s="61"/>
      <c r="B161" s="65"/>
      <c r="C161" s="61"/>
      <c r="D161" s="61"/>
      <c r="E161" s="63"/>
      <c r="F161" s="61"/>
      <c r="G161" s="61"/>
      <c r="H161" s="61"/>
      <c r="I161" s="61"/>
      <c r="J161" s="61"/>
      <c r="K161" s="66"/>
      <c r="L161" s="66"/>
    </row>
    <row r="162" ht="15.75" customHeight="1">
      <c r="A162" s="61"/>
      <c r="B162" s="65"/>
      <c r="C162" s="61"/>
      <c r="D162" s="61"/>
      <c r="E162" s="63"/>
      <c r="F162" s="61"/>
      <c r="G162" s="61"/>
      <c r="H162" s="61"/>
      <c r="I162" s="61"/>
      <c r="J162" s="61"/>
      <c r="K162" s="66"/>
      <c r="L162" s="66"/>
    </row>
    <row r="163" ht="15.75" customHeight="1">
      <c r="A163" s="61"/>
      <c r="B163" s="65"/>
      <c r="C163" s="61"/>
      <c r="D163" s="61"/>
      <c r="E163" s="63"/>
      <c r="F163" s="61"/>
      <c r="G163" s="61"/>
      <c r="H163" s="61"/>
      <c r="I163" s="61"/>
      <c r="J163" s="61"/>
      <c r="K163" s="66"/>
      <c r="L163" s="66"/>
    </row>
    <row r="164" ht="15.75" customHeight="1">
      <c r="A164" s="61"/>
      <c r="B164" s="65"/>
      <c r="C164" s="61"/>
      <c r="D164" s="61"/>
      <c r="E164" s="63"/>
      <c r="F164" s="61"/>
      <c r="G164" s="61"/>
      <c r="H164" s="61"/>
      <c r="I164" s="61"/>
      <c r="J164" s="61"/>
      <c r="K164" s="66"/>
      <c r="L164" s="66"/>
    </row>
    <row r="165" ht="15.75" customHeight="1">
      <c r="A165" s="61"/>
      <c r="B165" s="65"/>
      <c r="C165" s="61"/>
      <c r="D165" s="61"/>
      <c r="E165" s="63"/>
      <c r="F165" s="61"/>
      <c r="G165" s="61"/>
      <c r="H165" s="61"/>
      <c r="I165" s="61"/>
      <c r="J165" s="61"/>
      <c r="K165" s="66"/>
      <c r="L165" s="66"/>
    </row>
    <row r="166" ht="15.75" customHeight="1">
      <c r="A166" s="61"/>
      <c r="B166" s="65"/>
      <c r="C166" s="61"/>
      <c r="D166" s="61"/>
      <c r="E166" s="63"/>
      <c r="F166" s="61"/>
      <c r="G166" s="61"/>
      <c r="H166" s="61"/>
      <c r="I166" s="61"/>
      <c r="J166" s="61"/>
      <c r="K166" s="66"/>
      <c r="L166" s="66"/>
    </row>
    <row r="167" ht="15.75" customHeight="1">
      <c r="A167" s="61"/>
      <c r="B167" s="65"/>
      <c r="C167" s="61"/>
      <c r="D167" s="61"/>
      <c r="E167" s="63"/>
      <c r="F167" s="61"/>
      <c r="G167" s="61"/>
      <c r="H167" s="61"/>
      <c r="I167" s="61"/>
      <c r="J167" s="61"/>
      <c r="K167" s="66"/>
      <c r="L167" s="66"/>
    </row>
    <row r="168" ht="15.75" customHeight="1">
      <c r="A168" s="61"/>
      <c r="B168" s="65"/>
      <c r="C168" s="61"/>
      <c r="D168" s="61"/>
      <c r="E168" s="63"/>
      <c r="F168" s="61"/>
      <c r="G168" s="61"/>
      <c r="H168" s="61"/>
      <c r="I168" s="61"/>
      <c r="J168" s="61"/>
      <c r="K168" s="66"/>
      <c r="L168" s="66"/>
    </row>
    <row r="169" ht="15.75" customHeight="1">
      <c r="A169" s="61"/>
      <c r="B169" s="65"/>
      <c r="C169" s="61"/>
      <c r="D169" s="61"/>
      <c r="E169" s="63"/>
      <c r="F169" s="61"/>
      <c r="G169" s="61"/>
      <c r="H169" s="61"/>
      <c r="I169" s="61"/>
      <c r="J169" s="61"/>
      <c r="K169" s="66"/>
      <c r="L169" s="66"/>
    </row>
    <row r="170" ht="15.75" customHeight="1">
      <c r="A170" s="61"/>
      <c r="B170" s="65"/>
      <c r="C170" s="61"/>
      <c r="D170" s="61"/>
      <c r="E170" s="63"/>
      <c r="F170" s="61"/>
      <c r="G170" s="61"/>
      <c r="H170" s="61"/>
      <c r="I170" s="61"/>
      <c r="J170" s="61"/>
      <c r="K170" s="66"/>
      <c r="L170" s="66"/>
    </row>
    <row r="171" ht="15.75" customHeight="1">
      <c r="A171" s="61"/>
      <c r="B171" s="65"/>
      <c r="C171" s="61"/>
      <c r="D171" s="61"/>
      <c r="E171" s="63"/>
      <c r="F171" s="61"/>
      <c r="G171" s="61"/>
      <c r="H171" s="61"/>
      <c r="I171" s="61"/>
      <c r="J171" s="61"/>
      <c r="K171" s="66"/>
      <c r="L171" s="66"/>
    </row>
    <row r="172" ht="15.75" customHeight="1">
      <c r="A172" s="61"/>
      <c r="B172" s="65"/>
      <c r="C172" s="61"/>
      <c r="D172" s="61"/>
      <c r="E172" s="63"/>
      <c r="F172" s="61"/>
      <c r="G172" s="61"/>
      <c r="H172" s="61"/>
      <c r="I172" s="61"/>
      <c r="J172" s="61"/>
      <c r="K172" s="66"/>
      <c r="L172" s="66"/>
    </row>
    <row r="173" ht="15.75" customHeight="1">
      <c r="A173" s="61"/>
      <c r="B173" s="65"/>
      <c r="C173" s="61"/>
      <c r="D173" s="61"/>
      <c r="E173" s="63"/>
      <c r="F173" s="61"/>
      <c r="G173" s="61"/>
      <c r="H173" s="61"/>
      <c r="I173" s="61"/>
      <c r="J173" s="61"/>
      <c r="K173" s="66"/>
      <c r="L173" s="66"/>
    </row>
    <row r="174" ht="15.75" customHeight="1">
      <c r="A174" s="61"/>
      <c r="B174" s="65"/>
      <c r="C174" s="61"/>
      <c r="D174" s="61"/>
      <c r="E174" s="63"/>
      <c r="F174" s="61"/>
      <c r="G174" s="61"/>
      <c r="H174" s="61"/>
      <c r="I174" s="61"/>
      <c r="J174" s="61"/>
      <c r="K174" s="66"/>
      <c r="L174" s="66"/>
    </row>
    <row r="175" ht="15.75" customHeight="1">
      <c r="A175" s="61"/>
      <c r="B175" s="65"/>
      <c r="C175" s="61"/>
      <c r="D175" s="61"/>
      <c r="E175" s="63"/>
      <c r="F175" s="61"/>
      <c r="G175" s="61"/>
      <c r="H175" s="61"/>
      <c r="I175" s="61"/>
      <c r="J175" s="61"/>
      <c r="K175" s="66"/>
      <c r="L175" s="66"/>
    </row>
    <row r="176" ht="15.75" customHeight="1">
      <c r="A176" s="61"/>
      <c r="B176" s="65"/>
      <c r="C176" s="61"/>
      <c r="D176" s="61"/>
      <c r="E176" s="63"/>
      <c r="F176" s="61"/>
      <c r="G176" s="61"/>
      <c r="H176" s="61"/>
      <c r="I176" s="61"/>
      <c r="J176" s="61"/>
      <c r="K176" s="66"/>
      <c r="L176" s="66"/>
    </row>
    <row r="177" ht="15.75" customHeight="1">
      <c r="A177" s="61"/>
      <c r="B177" s="65"/>
      <c r="C177" s="61"/>
      <c r="D177" s="61"/>
      <c r="E177" s="63"/>
      <c r="F177" s="61"/>
      <c r="G177" s="61"/>
      <c r="H177" s="61"/>
      <c r="I177" s="61"/>
      <c r="J177" s="61"/>
      <c r="K177" s="66"/>
      <c r="L177" s="66"/>
    </row>
    <row r="178" ht="15.75" customHeight="1">
      <c r="A178" s="61"/>
      <c r="B178" s="65"/>
      <c r="C178" s="61"/>
      <c r="D178" s="61"/>
      <c r="E178" s="63"/>
      <c r="F178" s="61"/>
      <c r="G178" s="61"/>
      <c r="H178" s="61"/>
      <c r="I178" s="61"/>
      <c r="J178" s="61"/>
      <c r="K178" s="66"/>
      <c r="L178" s="66"/>
    </row>
    <row r="179" ht="15.75" customHeight="1">
      <c r="A179" s="61"/>
      <c r="B179" s="65"/>
      <c r="C179" s="61"/>
      <c r="D179" s="61"/>
      <c r="E179" s="63"/>
      <c r="F179" s="61"/>
      <c r="G179" s="61"/>
      <c r="H179" s="61"/>
      <c r="I179" s="61"/>
      <c r="J179" s="61"/>
      <c r="K179" s="66"/>
      <c r="L179" s="66"/>
    </row>
    <row r="180" ht="15.75" customHeight="1">
      <c r="A180" s="61"/>
      <c r="B180" s="65"/>
      <c r="C180" s="61"/>
      <c r="D180" s="61"/>
      <c r="E180" s="63"/>
      <c r="F180" s="61"/>
      <c r="G180" s="61"/>
      <c r="H180" s="61"/>
      <c r="I180" s="61"/>
      <c r="J180" s="61"/>
      <c r="K180" s="66"/>
      <c r="L180" s="66"/>
    </row>
    <row r="181" ht="15.75" customHeight="1">
      <c r="A181" s="61"/>
      <c r="B181" s="65"/>
      <c r="C181" s="61"/>
      <c r="D181" s="61"/>
      <c r="E181" s="63"/>
      <c r="F181" s="61"/>
      <c r="G181" s="61"/>
      <c r="H181" s="61"/>
      <c r="I181" s="61"/>
      <c r="J181" s="61"/>
      <c r="K181" s="66"/>
      <c r="L181" s="66"/>
    </row>
    <row r="182" ht="15.75" customHeight="1">
      <c r="A182" s="61"/>
      <c r="B182" s="65"/>
      <c r="C182" s="61"/>
      <c r="D182" s="61"/>
      <c r="E182" s="63"/>
      <c r="F182" s="61"/>
      <c r="G182" s="61"/>
      <c r="H182" s="61"/>
      <c r="I182" s="61"/>
      <c r="J182" s="61"/>
      <c r="K182" s="66"/>
      <c r="L182" s="66"/>
    </row>
    <row r="183" ht="15.75" customHeight="1">
      <c r="A183" s="61"/>
      <c r="B183" s="65"/>
      <c r="C183" s="61"/>
      <c r="D183" s="61"/>
      <c r="E183" s="63"/>
      <c r="F183" s="61"/>
      <c r="G183" s="61"/>
      <c r="H183" s="61"/>
      <c r="I183" s="61"/>
      <c r="J183" s="61"/>
      <c r="K183" s="66"/>
      <c r="L183" s="66"/>
    </row>
    <row r="184" ht="15.75" customHeight="1">
      <c r="A184" s="61"/>
      <c r="B184" s="65"/>
      <c r="C184" s="61"/>
      <c r="D184" s="61"/>
      <c r="E184" s="63"/>
      <c r="F184" s="61"/>
      <c r="G184" s="61"/>
      <c r="H184" s="61"/>
      <c r="I184" s="61"/>
      <c r="J184" s="61"/>
      <c r="K184" s="66"/>
      <c r="L184" s="66"/>
    </row>
    <row r="185" ht="15.75" customHeight="1">
      <c r="A185" s="61"/>
      <c r="B185" s="65"/>
      <c r="C185" s="61"/>
      <c r="D185" s="61"/>
      <c r="E185" s="63"/>
      <c r="F185" s="61"/>
      <c r="G185" s="61"/>
      <c r="H185" s="61"/>
      <c r="I185" s="61"/>
      <c r="J185" s="61"/>
      <c r="K185" s="66"/>
      <c r="L185" s="66"/>
    </row>
    <row r="186" ht="15.75" customHeight="1">
      <c r="A186" s="61"/>
      <c r="B186" s="65"/>
      <c r="C186" s="61"/>
      <c r="D186" s="61"/>
      <c r="E186" s="63"/>
      <c r="F186" s="61"/>
      <c r="G186" s="61"/>
      <c r="H186" s="61"/>
      <c r="I186" s="61"/>
      <c r="J186" s="61"/>
      <c r="K186" s="66"/>
      <c r="L186" s="66"/>
    </row>
    <row r="187" ht="15.75" customHeight="1">
      <c r="A187" s="61"/>
      <c r="B187" s="65"/>
      <c r="C187" s="61"/>
      <c r="D187" s="61"/>
      <c r="E187" s="63"/>
      <c r="F187" s="61"/>
      <c r="G187" s="61"/>
      <c r="H187" s="61"/>
      <c r="I187" s="61"/>
      <c r="J187" s="61"/>
      <c r="K187" s="66"/>
      <c r="L187" s="66"/>
    </row>
    <row r="188" ht="15.75" customHeight="1">
      <c r="A188" s="61"/>
      <c r="B188" s="65"/>
      <c r="C188" s="61"/>
      <c r="D188" s="61"/>
      <c r="E188" s="63"/>
      <c r="F188" s="61"/>
      <c r="G188" s="61"/>
      <c r="H188" s="61"/>
      <c r="I188" s="61"/>
      <c r="J188" s="61"/>
      <c r="K188" s="66"/>
      <c r="L188" s="66"/>
    </row>
    <row r="189" ht="15.75" customHeight="1">
      <c r="A189" s="61"/>
      <c r="B189" s="65"/>
      <c r="C189" s="61"/>
      <c r="D189" s="61"/>
      <c r="E189" s="63"/>
      <c r="F189" s="61"/>
      <c r="G189" s="61"/>
      <c r="H189" s="61"/>
      <c r="I189" s="61"/>
      <c r="J189" s="61"/>
      <c r="K189" s="66"/>
      <c r="L189" s="66"/>
    </row>
    <row r="190" ht="15.75" customHeight="1">
      <c r="A190" s="61"/>
      <c r="B190" s="65"/>
      <c r="C190" s="61"/>
      <c r="D190" s="61"/>
      <c r="E190" s="63"/>
      <c r="F190" s="61"/>
      <c r="G190" s="61"/>
      <c r="H190" s="61"/>
      <c r="I190" s="61"/>
      <c r="J190" s="61"/>
      <c r="K190" s="66"/>
      <c r="L190" s="66"/>
    </row>
    <row r="191" ht="15.75" customHeight="1">
      <c r="A191" s="61"/>
      <c r="B191" s="65"/>
      <c r="C191" s="61"/>
      <c r="D191" s="61"/>
      <c r="E191" s="63"/>
      <c r="F191" s="61"/>
      <c r="G191" s="61"/>
      <c r="H191" s="61"/>
      <c r="I191" s="61"/>
      <c r="J191" s="61"/>
      <c r="K191" s="66"/>
      <c r="L191" s="66"/>
    </row>
    <row r="192" ht="15.75" customHeight="1">
      <c r="A192" s="61"/>
      <c r="B192" s="65"/>
      <c r="C192" s="61"/>
      <c r="D192" s="61"/>
      <c r="E192" s="63"/>
      <c r="F192" s="61"/>
      <c r="G192" s="61"/>
      <c r="H192" s="61"/>
      <c r="I192" s="61"/>
      <c r="J192" s="61"/>
      <c r="K192" s="66"/>
      <c r="L192" s="66"/>
    </row>
    <row r="193" ht="15.75" customHeight="1">
      <c r="A193" s="61"/>
      <c r="B193" s="65"/>
      <c r="C193" s="61"/>
      <c r="D193" s="61"/>
      <c r="E193" s="63"/>
      <c r="F193" s="61"/>
      <c r="G193" s="61"/>
      <c r="H193" s="61"/>
      <c r="I193" s="61"/>
      <c r="J193" s="61"/>
      <c r="K193" s="66"/>
      <c r="L193" s="66"/>
    </row>
    <row r="194" ht="15.75" customHeight="1">
      <c r="A194" s="61"/>
      <c r="B194" s="65"/>
      <c r="C194" s="61"/>
      <c r="D194" s="61"/>
      <c r="E194" s="63"/>
      <c r="F194" s="61"/>
      <c r="G194" s="61"/>
      <c r="H194" s="61"/>
      <c r="I194" s="61"/>
      <c r="J194" s="61"/>
      <c r="K194" s="66"/>
      <c r="L194" s="66"/>
    </row>
    <row r="195" ht="15.75" customHeight="1">
      <c r="A195" s="61"/>
      <c r="B195" s="65"/>
      <c r="C195" s="61"/>
      <c r="D195" s="61"/>
      <c r="E195" s="63"/>
      <c r="F195" s="61"/>
      <c r="G195" s="61"/>
      <c r="H195" s="61"/>
      <c r="I195" s="61"/>
      <c r="J195" s="61"/>
      <c r="K195" s="66"/>
      <c r="L195" s="66"/>
    </row>
    <row r="196" ht="15.75" customHeight="1">
      <c r="A196" s="61"/>
      <c r="B196" s="65"/>
      <c r="C196" s="61"/>
      <c r="D196" s="61"/>
      <c r="E196" s="63"/>
      <c r="F196" s="61"/>
      <c r="G196" s="61"/>
      <c r="H196" s="61"/>
      <c r="I196" s="61"/>
      <c r="J196" s="61"/>
      <c r="K196" s="66"/>
      <c r="L196" s="66"/>
    </row>
    <row r="197" ht="15.75" customHeight="1">
      <c r="A197" s="61"/>
      <c r="B197" s="65"/>
      <c r="C197" s="61"/>
      <c r="D197" s="61"/>
      <c r="E197" s="63"/>
      <c r="F197" s="61"/>
      <c r="G197" s="61"/>
      <c r="H197" s="61"/>
      <c r="I197" s="61"/>
      <c r="J197" s="61"/>
      <c r="K197" s="66"/>
      <c r="L197" s="66"/>
    </row>
    <row r="198" ht="15.75" customHeight="1">
      <c r="A198" s="61"/>
      <c r="B198" s="65"/>
      <c r="C198" s="61"/>
      <c r="D198" s="61"/>
      <c r="E198" s="63"/>
      <c r="F198" s="61"/>
      <c r="G198" s="61"/>
      <c r="H198" s="61"/>
      <c r="I198" s="61"/>
      <c r="J198" s="61"/>
      <c r="K198" s="66"/>
      <c r="L198" s="66"/>
    </row>
    <row r="199" ht="15.75" customHeight="1">
      <c r="A199" s="61"/>
      <c r="B199" s="65"/>
      <c r="C199" s="61"/>
      <c r="D199" s="61"/>
      <c r="E199" s="63"/>
      <c r="F199" s="61"/>
      <c r="G199" s="61"/>
      <c r="H199" s="61"/>
      <c r="I199" s="61"/>
      <c r="J199" s="61"/>
      <c r="K199" s="66"/>
      <c r="L199" s="66"/>
    </row>
    <row r="200" ht="15.75" customHeight="1">
      <c r="A200" s="61"/>
      <c r="B200" s="65"/>
      <c r="C200" s="61"/>
      <c r="D200" s="61"/>
      <c r="E200" s="63"/>
      <c r="F200" s="61"/>
      <c r="G200" s="61"/>
      <c r="H200" s="61"/>
      <c r="I200" s="61"/>
      <c r="J200" s="61"/>
      <c r="K200" s="66"/>
      <c r="L200" s="66"/>
    </row>
    <row r="201" ht="15.75" customHeight="1">
      <c r="A201" s="61"/>
      <c r="B201" s="65"/>
      <c r="C201" s="61"/>
      <c r="D201" s="61"/>
      <c r="E201" s="63"/>
      <c r="F201" s="61"/>
      <c r="G201" s="61"/>
      <c r="H201" s="61"/>
      <c r="I201" s="61"/>
      <c r="J201" s="61"/>
      <c r="K201" s="66"/>
      <c r="L201" s="66"/>
    </row>
    <row r="202" ht="15.75" customHeight="1">
      <c r="A202" s="61"/>
      <c r="B202" s="65"/>
      <c r="C202" s="61"/>
      <c r="D202" s="61"/>
      <c r="E202" s="63"/>
      <c r="F202" s="61"/>
      <c r="G202" s="61"/>
      <c r="H202" s="61"/>
      <c r="I202" s="61"/>
      <c r="J202" s="61"/>
      <c r="K202" s="66"/>
      <c r="L202" s="66"/>
    </row>
    <row r="203" ht="15.75" customHeight="1">
      <c r="A203" s="61"/>
      <c r="B203" s="65"/>
      <c r="C203" s="61"/>
      <c r="D203" s="61"/>
      <c r="E203" s="63"/>
      <c r="F203" s="61"/>
      <c r="G203" s="61"/>
      <c r="H203" s="61"/>
      <c r="I203" s="61"/>
      <c r="J203" s="61"/>
      <c r="K203" s="66"/>
      <c r="L203" s="66"/>
    </row>
    <row r="204" ht="15.75" customHeight="1">
      <c r="A204" s="61"/>
      <c r="B204" s="65"/>
      <c r="C204" s="61"/>
      <c r="D204" s="61"/>
      <c r="E204" s="63"/>
      <c r="F204" s="61"/>
      <c r="G204" s="61"/>
      <c r="H204" s="61"/>
      <c r="I204" s="61"/>
      <c r="J204" s="61"/>
      <c r="K204" s="66"/>
      <c r="L204" s="66"/>
    </row>
    <row r="205" ht="15.75" customHeight="1">
      <c r="A205" s="61"/>
      <c r="B205" s="65"/>
      <c r="C205" s="61"/>
      <c r="D205" s="61"/>
      <c r="E205" s="63"/>
      <c r="F205" s="61"/>
      <c r="G205" s="61"/>
      <c r="H205" s="61"/>
      <c r="I205" s="61"/>
      <c r="J205" s="61"/>
      <c r="K205" s="66"/>
      <c r="L205" s="66"/>
    </row>
    <row r="206" ht="15.75" customHeight="1">
      <c r="A206" s="61"/>
      <c r="B206" s="65"/>
      <c r="C206" s="61"/>
      <c r="D206" s="61"/>
      <c r="E206" s="63"/>
      <c r="F206" s="61"/>
      <c r="G206" s="61"/>
      <c r="H206" s="61"/>
      <c r="I206" s="61"/>
      <c r="J206" s="61"/>
      <c r="K206" s="66"/>
      <c r="L206" s="66"/>
    </row>
    <row r="207" ht="15.75" customHeight="1">
      <c r="A207" s="61"/>
      <c r="B207" s="65"/>
      <c r="C207" s="61"/>
      <c r="D207" s="61"/>
      <c r="E207" s="63"/>
      <c r="F207" s="61"/>
      <c r="G207" s="61"/>
      <c r="H207" s="61"/>
      <c r="I207" s="61"/>
      <c r="J207" s="61"/>
      <c r="K207" s="66"/>
      <c r="L207" s="66"/>
    </row>
    <row r="208" ht="15.75" customHeight="1">
      <c r="A208" s="61"/>
      <c r="B208" s="65"/>
      <c r="C208" s="61"/>
      <c r="D208" s="61"/>
      <c r="E208" s="63"/>
      <c r="F208" s="61"/>
      <c r="G208" s="61"/>
      <c r="H208" s="61"/>
      <c r="I208" s="61"/>
      <c r="J208" s="61"/>
      <c r="K208" s="66"/>
      <c r="L208" s="66"/>
    </row>
    <row r="209" ht="15.75" customHeight="1">
      <c r="A209" s="61"/>
      <c r="B209" s="65"/>
      <c r="C209" s="61"/>
      <c r="D209" s="61"/>
      <c r="E209" s="63"/>
      <c r="F209" s="61"/>
      <c r="G209" s="61"/>
      <c r="H209" s="61"/>
      <c r="I209" s="61"/>
      <c r="J209" s="61"/>
      <c r="K209" s="66"/>
      <c r="L209" s="66"/>
    </row>
    <row r="210" ht="15.75" customHeight="1">
      <c r="A210" s="61"/>
      <c r="B210" s="65"/>
      <c r="C210" s="61"/>
      <c r="D210" s="61"/>
      <c r="E210" s="63"/>
      <c r="F210" s="61"/>
      <c r="G210" s="61"/>
      <c r="H210" s="61"/>
      <c r="I210" s="61"/>
      <c r="J210" s="61"/>
      <c r="K210" s="66"/>
      <c r="L210" s="66"/>
    </row>
    <row r="211" ht="15.75" customHeight="1">
      <c r="A211" s="61"/>
      <c r="B211" s="65"/>
      <c r="C211" s="61"/>
      <c r="D211" s="61"/>
      <c r="E211" s="63"/>
      <c r="F211" s="61"/>
      <c r="G211" s="61"/>
      <c r="H211" s="61"/>
      <c r="I211" s="61"/>
      <c r="J211" s="61"/>
      <c r="K211" s="66"/>
      <c r="L211" s="66"/>
    </row>
    <row r="212" ht="15.75" customHeight="1">
      <c r="A212" s="61"/>
      <c r="B212" s="65"/>
      <c r="C212" s="61"/>
      <c r="D212" s="61"/>
      <c r="E212" s="63"/>
      <c r="F212" s="61"/>
      <c r="G212" s="61"/>
      <c r="H212" s="61"/>
      <c r="I212" s="61"/>
      <c r="J212" s="61"/>
      <c r="K212" s="66"/>
      <c r="L212" s="66"/>
    </row>
    <row r="213" ht="15.75" customHeight="1">
      <c r="A213" s="61"/>
      <c r="B213" s="65"/>
      <c r="C213" s="61"/>
      <c r="D213" s="61"/>
      <c r="E213" s="63"/>
      <c r="F213" s="61"/>
      <c r="G213" s="61"/>
      <c r="H213" s="61"/>
      <c r="I213" s="61"/>
      <c r="J213" s="61"/>
      <c r="K213" s="66"/>
      <c r="L213" s="66"/>
    </row>
    <row r="214" ht="15.75" customHeight="1">
      <c r="A214" s="61"/>
      <c r="B214" s="65"/>
      <c r="C214" s="61"/>
      <c r="D214" s="61"/>
      <c r="E214" s="63"/>
      <c r="F214" s="61"/>
      <c r="G214" s="61"/>
      <c r="H214" s="61"/>
      <c r="I214" s="61"/>
      <c r="J214" s="61"/>
      <c r="K214" s="66"/>
      <c r="L214" s="66"/>
    </row>
    <row r="215" ht="15.75" customHeight="1">
      <c r="A215" s="61"/>
      <c r="B215" s="65"/>
      <c r="C215" s="61"/>
      <c r="D215" s="61"/>
      <c r="E215" s="63"/>
      <c r="F215" s="61"/>
      <c r="G215" s="61"/>
      <c r="H215" s="61"/>
      <c r="I215" s="61"/>
      <c r="J215" s="61"/>
      <c r="K215" s="66"/>
      <c r="L215" s="66"/>
    </row>
    <row r="216" ht="15.75" customHeight="1">
      <c r="A216" s="61"/>
      <c r="B216" s="65"/>
      <c r="C216" s="61"/>
      <c r="D216" s="61"/>
      <c r="E216" s="63"/>
      <c r="F216" s="61"/>
      <c r="G216" s="61"/>
      <c r="H216" s="61"/>
      <c r="I216" s="61"/>
      <c r="J216" s="61"/>
      <c r="K216" s="66"/>
      <c r="L216" s="66"/>
    </row>
    <row r="217" ht="15.75" customHeight="1">
      <c r="A217" s="61"/>
      <c r="B217" s="65"/>
      <c r="C217" s="61"/>
      <c r="D217" s="61"/>
      <c r="E217" s="63"/>
      <c r="F217" s="61"/>
      <c r="G217" s="61"/>
      <c r="H217" s="61"/>
      <c r="I217" s="61"/>
      <c r="J217" s="61"/>
      <c r="K217" s="66"/>
      <c r="L217" s="66"/>
    </row>
    <row r="218" ht="15.75" customHeight="1">
      <c r="A218" s="61"/>
      <c r="B218" s="65"/>
      <c r="C218" s="61"/>
      <c r="D218" s="61"/>
      <c r="E218" s="63"/>
      <c r="F218" s="61"/>
      <c r="G218" s="61"/>
      <c r="H218" s="61"/>
      <c r="I218" s="61"/>
      <c r="J218" s="61"/>
      <c r="K218" s="66"/>
      <c r="L218" s="66"/>
    </row>
    <row r="219" ht="15.75" customHeight="1">
      <c r="A219" s="61"/>
      <c r="B219" s="65"/>
      <c r="C219" s="61"/>
      <c r="D219" s="61"/>
      <c r="E219" s="63"/>
      <c r="F219" s="61"/>
      <c r="G219" s="61"/>
      <c r="H219" s="61"/>
      <c r="I219" s="61"/>
      <c r="J219" s="61"/>
      <c r="K219" s="66"/>
      <c r="L219" s="66"/>
    </row>
    <row r="220" ht="15.75" customHeight="1">
      <c r="D220" s="47"/>
      <c r="I220" s="47"/>
    </row>
    <row r="221" ht="15.75" customHeight="1">
      <c r="D221" s="47"/>
      <c r="I221" s="47"/>
    </row>
    <row r="222" ht="15.75" customHeight="1">
      <c r="D222" s="47"/>
      <c r="I222" s="47"/>
    </row>
    <row r="223" ht="15.75" customHeight="1">
      <c r="D223" s="47"/>
      <c r="I223" s="47"/>
    </row>
    <row r="224" ht="15.75" customHeight="1">
      <c r="D224" s="47"/>
      <c r="I224" s="47"/>
    </row>
    <row r="225" ht="15.75" customHeight="1">
      <c r="D225" s="47"/>
      <c r="I225" s="47"/>
    </row>
    <row r="226" ht="15.75" customHeight="1">
      <c r="D226" s="47"/>
      <c r="I226" s="47"/>
    </row>
    <row r="227" ht="15.75" customHeight="1">
      <c r="D227" s="47"/>
      <c r="I227" s="47"/>
    </row>
    <row r="228" ht="15.75" customHeight="1">
      <c r="D228" s="47"/>
      <c r="I228" s="47"/>
    </row>
    <row r="229" ht="15.75" customHeight="1">
      <c r="D229" s="47"/>
      <c r="I229" s="47"/>
    </row>
    <row r="230" ht="15.75" customHeight="1">
      <c r="D230" s="47"/>
      <c r="I230" s="47"/>
    </row>
    <row r="231" ht="15.75" customHeight="1">
      <c r="D231" s="47"/>
      <c r="I231" s="47"/>
    </row>
    <row r="232" ht="15.75" customHeight="1">
      <c r="D232" s="47"/>
      <c r="I232" s="47"/>
    </row>
    <row r="233" ht="15.75" customHeight="1">
      <c r="D233" s="47"/>
      <c r="I233" s="47"/>
    </row>
    <row r="234" ht="15.75" customHeight="1">
      <c r="D234" s="47"/>
      <c r="I234" s="47"/>
    </row>
    <row r="235" ht="15.75" customHeight="1">
      <c r="D235" s="47"/>
      <c r="I235" s="47"/>
    </row>
    <row r="236" ht="15.75" customHeight="1">
      <c r="D236" s="47"/>
      <c r="I236" s="47"/>
    </row>
    <row r="237" ht="15.75" customHeight="1">
      <c r="D237" s="47"/>
      <c r="I237" s="47"/>
    </row>
    <row r="238" ht="15.75" customHeight="1">
      <c r="D238" s="47"/>
      <c r="I238" s="47"/>
    </row>
    <row r="239" ht="15.75" customHeight="1">
      <c r="D239" s="47"/>
      <c r="I239" s="47"/>
    </row>
    <row r="240" ht="15.75" customHeight="1">
      <c r="D240" s="47"/>
      <c r="I240" s="47"/>
    </row>
    <row r="241" ht="15.75" customHeight="1">
      <c r="D241" s="47"/>
      <c r="I241" s="47"/>
    </row>
    <row r="242" ht="15.75" customHeight="1">
      <c r="D242" s="47"/>
      <c r="I242" s="47"/>
    </row>
    <row r="243" ht="15.75" customHeight="1">
      <c r="D243" s="47"/>
      <c r="I243" s="47"/>
    </row>
    <row r="244" ht="15.75" customHeight="1">
      <c r="D244" s="47"/>
      <c r="I244" s="47"/>
    </row>
    <row r="245" ht="15.75" customHeight="1">
      <c r="D245" s="47"/>
      <c r="I245" s="47"/>
    </row>
    <row r="246" ht="15.75" customHeight="1">
      <c r="D246" s="47"/>
      <c r="I246" s="47"/>
    </row>
    <row r="247" ht="15.75" customHeight="1">
      <c r="D247" s="47"/>
      <c r="I247" s="47"/>
    </row>
    <row r="248" ht="15.75" customHeight="1">
      <c r="D248" s="47"/>
      <c r="I248" s="47"/>
    </row>
    <row r="249" ht="15.75" customHeight="1">
      <c r="D249" s="47"/>
      <c r="I249" s="47"/>
    </row>
    <row r="250" ht="15.75" customHeight="1">
      <c r="D250" s="47"/>
      <c r="I250" s="47"/>
    </row>
    <row r="251" ht="15.75" customHeight="1">
      <c r="D251" s="47"/>
      <c r="I251" s="47"/>
    </row>
    <row r="252" ht="15.75" customHeight="1">
      <c r="D252" s="47"/>
      <c r="I252" s="47"/>
    </row>
    <row r="253" ht="15.75" customHeight="1">
      <c r="D253" s="47"/>
      <c r="I253" s="47"/>
    </row>
    <row r="254" ht="15.75" customHeight="1">
      <c r="D254" s="47"/>
      <c r="I254" s="47"/>
    </row>
    <row r="255" ht="15.75" customHeight="1">
      <c r="D255" s="47"/>
      <c r="I255" s="47"/>
    </row>
    <row r="256" ht="15.75" customHeight="1">
      <c r="D256" s="47"/>
      <c r="I256" s="47"/>
    </row>
    <row r="257" ht="15.75" customHeight="1">
      <c r="D257" s="47"/>
      <c r="I257" s="47"/>
    </row>
    <row r="258" ht="15.75" customHeight="1">
      <c r="D258" s="47"/>
      <c r="I258" s="47"/>
    </row>
    <row r="259" ht="15.75" customHeight="1">
      <c r="D259" s="47"/>
      <c r="I259" s="47"/>
    </row>
    <row r="260" ht="15.75" customHeight="1">
      <c r="D260" s="47"/>
      <c r="I260" s="47"/>
    </row>
    <row r="261" ht="15.75" customHeight="1">
      <c r="D261" s="47"/>
      <c r="I261" s="47"/>
    </row>
    <row r="262" ht="15.75" customHeight="1">
      <c r="D262" s="47"/>
      <c r="I262" s="47"/>
    </row>
    <row r="263" ht="15.75" customHeight="1">
      <c r="D263" s="47"/>
      <c r="I263" s="47"/>
    </row>
    <row r="264" ht="15.75" customHeight="1">
      <c r="D264" s="47"/>
      <c r="I264" s="47"/>
    </row>
    <row r="265" ht="15.75" customHeight="1">
      <c r="D265" s="47"/>
      <c r="I265" s="47"/>
    </row>
    <row r="266" ht="15.75" customHeight="1">
      <c r="D266" s="47"/>
      <c r="I266" s="47"/>
    </row>
    <row r="267" ht="15.75" customHeight="1">
      <c r="D267" s="47"/>
      <c r="I267" s="47"/>
    </row>
    <row r="268" ht="15.75" customHeight="1">
      <c r="D268" s="47"/>
      <c r="I268" s="47"/>
    </row>
    <row r="269" ht="15.75" customHeight="1">
      <c r="D269" s="47"/>
      <c r="I269" s="47"/>
    </row>
    <row r="270" ht="15.75" customHeight="1">
      <c r="D270" s="47"/>
      <c r="I270" s="47"/>
    </row>
    <row r="271" ht="15.75" customHeight="1">
      <c r="D271" s="47"/>
      <c r="I271" s="47"/>
    </row>
    <row r="272" ht="15.75" customHeight="1">
      <c r="D272" s="47"/>
      <c r="I272" s="47"/>
    </row>
    <row r="273" ht="15.75" customHeight="1">
      <c r="D273" s="47"/>
      <c r="I273" s="47"/>
    </row>
    <row r="274" ht="15.75" customHeight="1">
      <c r="D274" s="47"/>
      <c r="I274" s="47"/>
    </row>
    <row r="275" ht="15.75" customHeight="1">
      <c r="D275" s="47"/>
      <c r="I275" s="47"/>
    </row>
    <row r="276" ht="15.75" customHeight="1">
      <c r="D276" s="47"/>
      <c r="I276" s="47"/>
    </row>
    <row r="277" ht="15.75" customHeight="1">
      <c r="D277" s="47"/>
      <c r="I277" s="47"/>
    </row>
    <row r="278" ht="15.75" customHeight="1">
      <c r="D278" s="47"/>
      <c r="I278" s="47"/>
    </row>
    <row r="279" ht="15.75" customHeight="1">
      <c r="D279" s="47"/>
      <c r="I279" s="47"/>
    </row>
    <row r="280" ht="15.75" customHeight="1">
      <c r="D280" s="47"/>
      <c r="I280" s="47"/>
    </row>
    <row r="281" ht="15.75" customHeight="1">
      <c r="D281" s="47"/>
      <c r="I281" s="47"/>
    </row>
    <row r="282" ht="15.75" customHeight="1">
      <c r="D282" s="47"/>
      <c r="I282" s="47"/>
    </row>
    <row r="283" ht="15.75" customHeight="1">
      <c r="D283" s="47"/>
      <c r="I283" s="47"/>
    </row>
    <row r="284" ht="15.75" customHeight="1">
      <c r="D284" s="47"/>
      <c r="I284" s="47"/>
    </row>
    <row r="285" ht="15.75" customHeight="1">
      <c r="D285" s="47"/>
      <c r="I285" s="47"/>
    </row>
    <row r="286" ht="15.75" customHeight="1">
      <c r="D286" s="47"/>
      <c r="I286" s="47"/>
    </row>
    <row r="287" ht="15.75" customHeight="1">
      <c r="D287" s="47"/>
      <c r="I287" s="47"/>
    </row>
    <row r="288" ht="15.75" customHeight="1">
      <c r="D288" s="47"/>
      <c r="I288" s="47"/>
    </row>
    <row r="289" ht="15.75" customHeight="1">
      <c r="D289" s="47"/>
      <c r="I289" s="47"/>
    </row>
    <row r="290" ht="15.75" customHeight="1">
      <c r="D290" s="47"/>
      <c r="I290" s="47"/>
    </row>
    <row r="291" ht="15.75" customHeight="1">
      <c r="D291" s="47"/>
      <c r="I291" s="47"/>
    </row>
    <row r="292" ht="15.75" customHeight="1">
      <c r="D292" s="47"/>
      <c r="I292" s="47"/>
    </row>
    <row r="293" ht="15.75" customHeight="1">
      <c r="D293" s="47"/>
      <c r="I293" s="47"/>
    </row>
    <row r="294" ht="15.75" customHeight="1">
      <c r="D294" s="47"/>
      <c r="I294" s="47"/>
    </row>
    <row r="295" ht="15.75" customHeight="1">
      <c r="D295" s="47"/>
      <c r="I295" s="47"/>
    </row>
    <row r="296" ht="15.75" customHeight="1">
      <c r="D296" s="47"/>
      <c r="I296" s="47"/>
    </row>
    <row r="297" ht="15.75" customHeight="1">
      <c r="D297" s="47"/>
      <c r="I297" s="47"/>
    </row>
    <row r="298" ht="15.75" customHeight="1">
      <c r="D298" s="47"/>
      <c r="I298" s="47"/>
    </row>
    <row r="299" ht="15.75" customHeight="1">
      <c r="D299" s="47"/>
      <c r="I299" s="47"/>
    </row>
    <row r="300" ht="15.75" customHeight="1">
      <c r="D300" s="47"/>
      <c r="I300" s="47"/>
    </row>
    <row r="301" ht="15.75" customHeight="1">
      <c r="D301" s="47"/>
      <c r="I301" s="47"/>
    </row>
    <row r="302" ht="15.75" customHeight="1">
      <c r="D302" s="47"/>
      <c r="I302" s="47"/>
    </row>
    <row r="303" ht="15.75" customHeight="1">
      <c r="D303" s="47"/>
      <c r="I303" s="47"/>
    </row>
    <row r="304" ht="15.75" customHeight="1">
      <c r="D304" s="47"/>
      <c r="I304" s="47"/>
    </row>
    <row r="305" ht="15.75" customHeight="1">
      <c r="D305" s="47"/>
      <c r="I305" s="47"/>
    </row>
    <row r="306" ht="15.75" customHeight="1">
      <c r="D306" s="47"/>
      <c r="I306" s="47"/>
    </row>
    <row r="307" ht="15.75" customHeight="1">
      <c r="D307" s="47"/>
      <c r="I307" s="47"/>
    </row>
    <row r="308" ht="15.75" customHeight="1">
      <c r="D308" s="47"/>
      <c r="I308" s="47"/>
    </row>
    <row r="309" ht="15.75" customHeight="1">
      <c r="D309" s="47"/>
      <c r="I309" s="47"/>
    </row>
    <row r="310" ht="15.75" customHeight="1">
      <c r="D310" s="47"/>
      <c r="I310" s="47"/>
    </row>
    <row r="311" ht="15.75" customHeight="1">
      <c r="D311" s="47"/>
      <c r="I311" s="47"/>
    </row>
    <row r="312" ht="15.75" customHeight="1">
      <c r="D312" s="47"/>
      <c r="I312" s="47"/>
    </row>
    <row r="313" ht="15.75" customHeight="1">
      <c r="D313" s="47"/>
      <c r="I313" s="47"/>
    </row>
    <row r="314" ht="15.75" customHeight="1">
      <c r="D314" s="47"/>
      <c r="I314" s="47"/>
    </row>
    <row r="315" ht="15.75" customHeight="1">
      <c r="D315" s="47"/>
      <c r="I315" s="47"/>
    </row>
    <row r="316" ht="15.75" customHeight="1">
      <c r="D316" s="47"/>
      <c r="I316" s="47"/>
    </row>
    <row r="317" ht="15.75" customHeight="1">
      <c r="D317" s="47"/>
      <c r="I317" s="47"/>
    </row>
    <row r="318" ht="15.75" customHeight="1">
      <c r="D318" s="47"/>
      <c r="I318" s="47"/>
    </row>
    <row r="319" ht="15.75" customHeight="1">
      <c r="D319" s="47"/>
      <c r="I319" s="47"/>
    </row>
    <row r="320" ht="15.75" customHeight="1">
      <c r="D320" s="47"/>
      <c r="I320" s="47"/>
    </row>
    <row r="321" ht="15.75" customHeight="1">
      <c r="D321" s="47"/>
      <c r="I321" s="47"/>
    </row>
    <row r="322" ht="15.75" customHeight="1">
      <c r="D322" s="47"/>
      <c r="I322" s="47"/>
    </row>
    <row r="323" ht="15.75" customHeight="1">
      <c r="D323" s="47"/>
      <c r="I323" s="47"/>
    </row>
    <row r="324" ht="15.75" customHeight="1">
      <c r="D324" s="47"/>
      <c r="I324" s="47"/>
    </row>
    <row r="325" ht="15.75" customHeight="1">
      <c r="D325" s="47"/>
      <c r="I325" s="47"/>
    </row>
    <row r="326" ht="15.75" customHeight="1">
      <c r="D326" s="47"/>
      <c r="I326" s="47"/>
    </row>
    <row r="327" ht="15.75" customHeight="1">
      <c r="D327" s="47"/>
      <c r="I327" s="47"/>
    </row>
    <row r="328" ht="15.75" customHeight="1">
      <c r="D328" s="47"/>
      <c r="I328" s="47"/>
    </row>
    <row r="329" ht="15.75" customHeight="1">
      <c r="D329" s="47"/>
      <c r="I329" s="47"/>
    </row>
    <row r="330" ht="15.75" customHeight="1">
      <c r="D330" s="47"/>
      <c r="I330" s="47"/>
    </row>
    <row r="331" ht="15.75" customHeight="1">
      <c r="D331" s="47"/>
      <c r="I331" s="47"/>
    </row>
    <row r="332" ht="15.75" customHeight="1">
      <c r="D332" s="47"/>
      <c r="I332" s="47"/>
    </row>
    <row r="333" ht="15.75" customHeight="1">
      <c r="D333" s="47"/>
      <c r="I333" s="47"/>
    </row>
    <row r="334" ht="15.75" customHeight="1">
      <c r="D334" s="47"/>
      <c r="I334" s="47"/>
    </row>
    <row r="335" ht="15.75" customHeight="1">
      <c r="D335" s="47"/>
      <c r="I335" s="47"/>
    </row>
    <row r="336" ht="15.75" customHeight="1">
      <c r="D336" s="47"/>
      <c r="I336" s="47"/>
    </row>
    <row r="337" ht="15.75" customHeight="1">
      <c r="D337" s="47"/>
      <c r="I337" s="47"/>
    </row>
    <row r="338" ht="15.75" customHeight="1">
      <c r="D338" s="47"/>
      <c r="I338" s="47"/>
    </row>
    <row r="339" ht="15.75" customHeight="1">
      <c r="D339" s="47"/>
      <c r="I339" s="47"/>
    </row>
    <row r="340" ht="15.75" customHeight="1">
      <c r="D340" s="47"/>
      <c r="I340" s="47"/>
    </row>
    <row r="341" ht="15.75" customHeight="1">
      <c r="D341" s="47"/>
      <c r="I341" s="47"/>
    </row>
    <row r="342" ht="15.75" customHeight="1">
      <c r="D342" s="47"/>
      <c r="I342" s="47"/>
    </row>
    <row r="343" ht="15.75" customHeight="1">
      <c r="D343" s="47"/>
      <c r="I343" s="47"/>
    </row>
    <row r="344" ht="15.75" customHeight="1">
      <c r="D344" s="47"/>
      <c r="I344" s="47"/>
    </row>
    <row r="345" ht="15.75" customHeight="1">
      <c r="D345" s="47"/>
      <c r="I345" s="47"/>
    </row>
    <row r="346" ht="15.75" customHeight="1">
      <c r="D346" s="47"/>
      <c r="I346" s="47"/>
    </row>
    <row r="347" ht="15.75" customHeight="1">
      <c r="D347" s="47"/>
      <c r="I347" s="47"/>
    </row>
    <row r="348" ht="15.75" customHeight="1">
      <c r="D348" s="47"/>
      <c r="I348" s="47"/>
    </row>
    <row r="349" ht="15.75" customHeight="1">
      <c r="D349" s="47"/>
      <c r="I349" s="47"/>
    </row>
    <row r="350" ht="15.75" customHeight="1">
      <c r="D350" s="47"/>
      <c r="I350" s="47"/>
    </row>
    <row r="351" ht="15.75" customHeight="1">
      <c r="D351" s="47"/>
      <c r="I351" s="47"/>
    </row>
    <row r="352" ht="15.75" customHeight="1">
      <c r="D352" s="47"/>
      <c r="I352" s="47"/>
    </row>
    <row r="353" ht="15.75" customHeight="1">
      <c r="D353" s="47"/>
      <c r="I353" s="47"/>
    </row>
    <row r="354" ht="15.75" customHeight="1">
      <c r="D354" s="47"/>
      <c r="I354" s="47"/>
    </row>
    <row r="355" ht="15.75" customHeight="1">
      <c r="D355" s="47"/>
      <c r="I355" s="47"/>
    </row>
    <row r="356" ht="15.75" customHeight="1">
      <c r="D356" s="47"/>
      <c r="I356" s="47"/>
    </row>
    <row r="357" ht="15.75" customHeight="1">
      <c r="D357" s="47"/>
      <c r="I357" s="47"/>
    </row>
    <row r="358" ht="15.75" customHeight="1">
      <c r="D358" s="47"/>
      <c r="I358" s="47"/>
    </row>
    <row r="359" ht="15.75" customHeight="1">
      <c r="D359" s="47"/>
      <c r="I359" s="47"/>
    </row>
    <row r="360" ht="15.75" customHeight="1">
      <c r="D360" s="47"/>
      <c r="I360" s="47"/>
    </row>
    <row r="361" ht="15.75" customHeight="1">
      <c r="D361" s="47"/>
      <c r="I361" s="47"/>
    </row>
    <row r="362" ht="15.75" customHeight="1">
      <c r="D362" s="47"/>
      <c r="I362" s="47"/>
    </row>
    <row r="363" ht="15.75" customHeight="1">
      <c r="D363" s="47"/>
      <c r="I363" s="47"/>
    </row>
    <row r="364" ht="15.75" customHeight="1">
      <c r="D364" s="47"/>
      <c r="I364" s="47"/>
    </row>
    <row r="365" ht="15.75" customHeight="1">
      <c r="D365" s="47"/>
      <c r="I365" s="47"/>
    </row>
    <row r="366" ht="15.75" customHeight="1">
      <c r="D366" s="47"/>
      <c r="I366" s="47"/>
    </row>
    <row r="367" ht="15.75" customHeight="1">
      <c r="D367" s="47"/>
      <c r="I367" s="47"/>
    </row>
    <row r="368" ht="15.75" customHeight="1">
      <c r="D368" s="47"/>
      <c r="I368" s="47"/>
    </row>
    <row r="369" ht="15.75" customHeight="1">
      <c r="D369" s="47"/>
      <c r="I369" s="47"/>
    </row>
    <row r="370" ht="15.75" customHeight="1">
      <c r="D370" s="47"/>
      <c r="I370" s="47"/>
    </row>
    <row r="371" ht="15.75" customHeight="1">
      <c r="D371" s="47"/>
      <c r="I371" s="47"/>
    </row>
    <row r="372" ht="15.75" customHeight="1">
      <c r="D372" s="47"/>
      <c r="I372" s="47"/>
    </row>
    <row r="373" ht="15.75" customHeight="1">
      <c r="D373" s="47"/>
      <c r="I373" s="47"/>
    </row>
    <row r="374" ht="15.75" customHeight="1">
      <c r="D374" s="47"/>
      <c r="I374" s="47"/>
    </row>
    <row r="375" ht="15.75" customHeight="1">
      <c r="D375" s="47"/>
      <c r="I375" s="47"/>
    </row>
    <row r="376" ht="15.75" customHeight="1">
      <c r="D376" s="47"/>
      <c r="I376" s="47"/>
    </row>
    <row r="377" ht="15.75" customHeight="1">
      <c r="D377" s="47"/>
      <c r="I377" s="47"/>
    </row>
    <row r="378" ht="15.75" customHeight="1">
      <c r="D378" s="47"/>
      <c r="I378" s="47"/>
    </row>
    <row r="379" ht="15.75" customHeight="1">
      <c r="D379" s="47"/>
      <c r="I379" s="47"/>
    </row>
    <row r="380" ht="15.75" customHeight="1">
      <c r="D380" s="47"/>
      <c r="I380" s="47"/>
    </row>
    <row r="381" ht="15.75" customHeight="1">
      <c r="D381" s="47"/>
      <c r="I381" s="47"/>
    </row>
    <row r="382" ht="15.75" customHeight="1">
      <c r="D382" s="47"/>
      <c r="I382" s="47"/>
    </row>
    <row r="383" ht="15.75" customHeight="1">
      <c r="D383" s="47"/>
      <c r="I383" s="47"/>
    </row>
    <row r="384" ht="15.75" customHeight="1">
      <c r="D384" s="47"/>
      <c r="I384" s="47"/>
    </row>
    <row r="385" ht="15.75" customHeight="1">
      <c r="D385" s="47"/>
      <c r="I385" s="47"/>
    </row>
    <row r="386" ht="15.75" customHeight="1">
      <c r="D386" s="47"/>
      <c r="I386" s="47"/>
    </row>
    <row r="387" ht="15.75" customHeight="1">
      <c r="D387" s="47"/>
      <c r="I387" s="47"/>
    </row>
    <row r="388" ht="15.75" customHeight="1">
      <c r="D388" s="47"/>
      <c r="I388" s="47"/>
    </row>
    <row r="389" ht="15.75" customHeight="1">
      <c r="D389" s="47"/>
      <c r="I389" s="47"/>
    </row>
    <row r="390" ht="15.75" customHeight="1">
      <c r="D390" s="47"/>
      <c r="I390" s="47"/>
    </row>
    <row r="391" ht="15.75" customHeight="1">
      <c r="D391" s="47"/>
      <c r="I391" s="47"/>
    </row>
    <row r="392" ht="15.75" customHeight="1">
      <c r="D392" s="47"/>
      <c r="I392" s="47"/>
    </row>
    <row r="393" ht="15.75" customHeight="1">
      <c r="D393" s="47"/>
      <c r="I393" s="47"/>
    </row>
    <row r="394" ht="15.75" customHeight="1">
      <c r="D394" s="47"/>
      <c r="I394" s="47"/>
    </row>
    <row r="395" ht="15.75" customHeight="1">
      <c r="D395" s="47"/>
      <c r="I395" s="47"/>
    </row>
    <row r="396" ht="15.75" customHeight="1">
      <c r="D396" s="47"/>
      <c r="I396" s="47"/>
    </row>
    <row r="397" ht="15.75" customHeight="1">
      <c r="D397" s="47"/>
      <c r="I397" s="47"/>
    </row>
    <row r="398" ht="15.75" customHeight="1">
      <c r="D398" s="47"/>
      <c r="I398" s="47"/>
    </row>
    <row r="399" ht="15.75" customHeight="1">
      <c r="D399" s="47"/>
      <c r="I399" s="47"/>
    </row>
    <row r="400" ht="15.75" customHeight="1">
      <c r="D400" s="47"/>
      <c r="I400" s="47"/>
    </row>
    <row r="401" ht="15.75" customHeight="1">
      <c r="D401" s="47"/>
      <c r="I401" s="47"/>
    </row>
    <row r="402" ht="15.75" customHeight="1">
      <c r="D402" s="47"/>
      <c r="I402" s="47"/>
    </row>
    <row r="403" ht="15.75" customHeight="1">
      <c r="D403" s="47"/>
      <c r="I403" s="47"/>
    </row>
    <row r="404" ht="15.75" customHeight="1">
      <c r="D404" s="47"/>
      <c r="I404" s="47"/>
    </row>
    <row r="405" ht="15.75" customHeight="1">
      <c r="D405" s="47"/>
      <c r="I405" s="47"/>
    </row>
    <row r="406" ht="15.75" customHeight="1">
      <c r="D406" s="47"/>
      <c r="I406" s="47"/>
    </row>
    <row r="407" ht="15.75" customHeight="1">
      <c r="D407" s="47"/>
      <c r="I407" s="47"/>
    </row>
    <row r="408" ht="15.75" customHeight="1">
      <c r="D408" s="47"/>
      <c r="I408" s="47"/>
    </row>
    <row r="409" ht="15.75" customHeight="1">
      <c r="D409" s="47"/>
      <c r="I409" s="47"/>
    </row>
    <row r="410" ht="15.75" customHeight="1">
      <c r="D410" s="47"/>
      <c r="I410" s="47"/>
    </row>
    <row r="411" ht="15.75" customHeight="1">
      <c r="D411" s="47"/>
      <c r="I411" s="47"/>
    </row>
    <row r="412" ht="15.75" customHeight="1">
      <c r="D412" s="47"/>
      <c r="I412" s="47"/>
    </row>
    <row r="413" ht="15.75" customHeight="1">
      <c r="D413" s="47"/>
      <c r="I413" s="47"/>
    </row>
    <row r="414" ht="15.75" customHeight="1">
      <c r="D414" s="47"/>
      <c r="I414" s="47"/>
    </row>
    <row r="415" ht="15.75" customHeight="1">
      <c r="D415" s="47"/>
      <c r="I415" s="47"/>
    </row>
    <row r="416" ht="15.75" customHeight="1">
      <c r="D416" s="47"/>
      <c r="I416" s="47"/>
    </row>
    <row r="417" ht="15.75" customHeight="1">
      <c r="D417" s="47"/>
      <c r="I417" s="47"/>
    </row>
    <row r="418" ht="15.75" customHeight="1">
      <c r="D418" s="47"/>
      <c r="I418" s="47"/>
    </row>
    <row r="419" ht="15.75" customHeight="1">
      <c r="D419" s="47"/>
      <c r="I419" s="47"/>
    </row>
    <row r="420" ht="15.75" customHeight="1">
      <c r="D420" s="47"/>
      <c r="I420" s="47"/>
    </row>
    <row r="421" ht="15.75" customHeight="1">
      <c r="D421" s="47"/>
      <c r="I421" s="47"/>
    </row>
    <row r="422" ht="15.75" customHeight="1">
      <c r="D422" s="47"/>
      <c r="I422" s="47"/>
    </row>
    <row r="423" ht="15.75" customHeight="1">
      <c r="D423" s="47"/>
      <c r="I423" s="47"/>
    </row>
    <row r="424" ht="15.75" customHeight="1">
      <c r="D424" s="47"/>
      <c r="I424" s="47"/>
    </row>
    <row r="425" ht="15.75" customHeight="1">
      <c r="D425" s="47"/>
      <c r="I425" s="47"/>
    </row>
    <row r="426" ht="15.75" customHeight="1">
      <c r="D426" s="47"/>
      <c r="I426" s="47"/>
    </row>
    <row r="427" ht="15.75" customHeight="1">
      <c r="D427" s="47"/>
      <c r="I427" s="47"/>
    </row>
    <row r="428" ht="15.75" customHeight="1">
      <c r="D428" s="47"/>
      <c r="I428" s="47"/>
    </row>
    <row r="429" ht="15.75" customHeight="1">
      <c r="D429" s="47"/>
      <c r="I429" s="47"/>
    </row>
    <row r="430" ht="15.75" customHeight="1">
      <c r="D430" s="47"/>
      <c r="I430" s="47"/>
    </row>
    <row r="431" ht="15.75" customHeight="1">
      <c r="D431" s="47"/>
      <c r="I431" s="47"/>
    </row>
    <row r="432" ht="15.75" customHeight="1">
      <c r="D432" s="47"/>
      <c r="I432" s="47"/>
    </row>
    <row r="433" ht="15.75" customHeight="1">
      <c r="D433" s="47"/>
      <c r="I433" s="47"/>
    </row>
    <row r="434" ht="15.75" customHeight="1">
      <c r="D434" s="47"/>
      <c r="I434" s="47"/>
    </row>
    <row r="435" ht="15.75" customHeight="1">
      <c r="D435" s="47"/>
      <c r="I435" s="47"/>
    </row>
    <row r="436" ht="15.75" customHeight="1">
      <c r="D436" s="47"/>
      <c r="I436" s="47"/>
    </row>
    <row r="437" ht="15.75" customHeight="1">
      <c r="D437" s="47"/>
      <c r="I437" s="47"/>
    </row>
    <row r="438" ht="15.75" customHeight="1">
      <c r="D438" s="47"/>
      <c r="I438" s="47"/>
    </row>
    <row r="439" ht="15.75" customHeight="1">
      <c r="D439" s="47"/>
      <c r="I439" s="47"/>
    </row>
    <row r="440" ht="15.75" customHeight="1">
      <c r="D440" s="47"/>
      <c r="I440" s="47"/>
    </row>
    <row r="441" ht="15.75" customHeight="1">
      <c r="D441" s="47"/>
      <c r="I441" s="47"/>
    </row>
    <row r="442" ht="15.75" customHeight="1">
      <c r="D442" s="47"/>
      <c r="I442" s="47"/>
    </row>
    <row r="443" ht="15.75" customHeight="1">
      <c r="D443" s="47"/>
      <c r="I443" s="47"/>
    </row>
    <row r="444" ht="15.75" customHeight="1">
      <c r="D444" s="47"/>
      <c r="I444" s="47"/>
    </row>
    <row r="445" ht="15.75" customHeight="1">
      <c r="D445" s="47"/>
      <c r="I445" s="47"/>
    </row>
    <row r="446" ht="15.75" customHeight="1">
      <c r="D446" s="47"/>
      <c r="I446" s="47"/>
    </row>
    <row r="447" ht="15.75" customHeight="1">
      <c r="D447" s="47"/>
      <c r="I447" s="47"/>
    </row>
    <row r="448" ht="15.75" customHeight="1">
      <c r="D448" s="47"/>
      <c r="I448" s="47"/>
    </row>
    <row r="449" ht="15.75" customHeight="1">
      <c r="D449" s="47"/>
      <c r="I449" s="47"/>
    </row>
    <row r="450" ht="15.75" customHeight="1">
      <c r="D450" s="47"/>
      <c r="I450" s="47"/>
    </row>
    <row r="451" ht="15.75" customHeight="1">
      <c r="D451" s="47"/>
      <c r="I451" s="47"/>
    </row>
    <row r="452" ht="15.75" customHeight="1">
      <c r="D452" s="47"/>
      <c r="I452" s="47"/>
    </row>
    <row r="453" ht="15.75" customHeight="1">
      <c r="D453" s="47"/>
      <c r="I453" s="47"/>
    </row>
    <row r="454" ht="15.75" customHeight="1">
      <c r="D454" s="47"/>
      <c r="I454" s="47"/>
    </row>
    <row r="455" ht="15.75" customHeight="1">
      <c r="D455" s="47"/>
      <c r="I455" s="47"/>
    </row>
    <row r="456" ht="15.75" customHeight="1">
      <c r="D456" s="47"/>
      <c r="I456" s="47"/>
    </row>
    <row r="457" ht="15.75" customHeight="1">
      <c r="D457" s="47"/>
      <c r="I457" s="47"/>
    </row>
    <row r="458" ht="15.75" customHeight="1">
      <c r="D458" s="47"/>
      <c r="I458" s="47"/>
    </row>
    <row r="459" ht="15.75" customHeight="1">
      <c r="D459" s="47"/>
      <c r="I459" s="47"/>
    </row>
    <row r="460" ht="15.75" customHeight="1">
      <c r="D460" s="47"/>
      <c r="I460" s="47"/>
    </row>
    <row r="461" ht="15.75" customHeight="1">
      <c r="D461" s="47"/>
      <c r="I461" s="47"/>
    </row>
    <row r="462" ht="15.75" customHeight="1">
      <c r="D462" s="47"/>
      <c r="I462" s="47"/>
    </row>
    <row r="463" ht="15.75" customHeight="1">
      <c r="D463" s="47"/>
      <c r="I463" s="47"/>
    </row>
    <row r="464" ht="15.75" customHeight="1">
      <c r="D464" s="47"/>
      <c r="I464" s="47"/>
    </row>
    <row r="465" ht="15.75" customHeight="1">
      <c r="D465" s="47"/>
      <c r="I465" s="47"/>
    </row>
    <row r="466" ht="15.75" customHeight="1">
      <c r="D466" s="47"/>
      <c r="I466" s="47"/>
    </row>
    <row r="467" ht="15.75" customHeight="1">
      <c r="D467" s="47"/>
      <c r="I467" s="47"/>
    </row>
    <row r="468" ht="15.75" customHeight="1">
      <c r="D468" s="47"/>
      <c r="I468" s="47"/>
    </row>
    <row r="469" ht="15.75" customHeight="1">
      <c r="D469" s="47"/>
      <c r="I469" s="47"/>
    </row>
    <row r="470" ht="15.75" customHeight="1">
      <c r="D470" s="47"/>
      <c r="I470" s="47"/>
    </row>
    <row r="471" ht="15.75" customHeight="1">
      <c r="D471" s="47"/>
      <c r="I471" s="47"/>
    </row>
    <row r="472" ht="15.75" customHeight="1">
      <c r="D472" s="47"/>
      <c r="I472" s="47"/>
    </row>
    <row r="473" ht="15.75" customHeight="1">
      <c r="D473" s="47"/>
      <c r="I473" s="47"/>
    </row>
    <row r="474" ht="15.75" customHeight="1">
      <c r="D474" s="47"/>
      <c r="I474" s="47"/>
    </row>
    <row r="475" ht="15.75" customHeight="1">
      <c r="D475" s="47"/>
      <c r="I475" s="47"/>
    </row>
    <row r="476" ht="15.75" customHeight="1">
      <c r="D476" s="47"/>
      <c r="I476" s="47"/>
    </row>
    <row r="477" ht="15.75" customHeight="1">
      <c r="D477" s="47"/>
      <c r="I477" s="47"/>
    </row>
    <row r="478" ht="15.75" customHeight="1">
      <c r="D478" s="47"/>
      <c r="I478" s="47"/>
    </row>
    <row r="479" ht="15.75" customHeight="1">
      <c r="D479" s="47"/>
      <c r="I479" s="47"/>
    </row>
    <row r="480" ht="15.75" customHeight="1">
      <c r="D480" s="47"/>
      <c r="I480" s="47"/>
    </row>
    <row r="481" ht="15.75" customHeight="1">
      <c r="D481" s="47"/>
      <c r="I481" s="47"/>
    </row>
    <row r="482" ht="15.75" customHeight="1">
      <c r="D482" s="47"/>
      <c r="I482" s="47"/>
    </row>
    <row r="483" ht="15.75" customHeight="1">
      <c r="D483" s="47"/>
      <c r="I483" s="47"/>
    </row>
    <row r="484" ht="15.75" customHeight="1">
      <c r="D484" s="47"/>
      <c r="I484" s="47"/>
    </row>
    <row r="485" ht="15.75" customHeight="1">
      <c r="D485" s="47"/>
      <c r="I485" s="47"/>
    </row>
    <row r="486" ht="15.75" customHeight="1">
      <c r="D486" s="47"/>
      <c r="I486" s="47"/>
    </row>
    <row r="487" ht="15.75" customHeight="1">
      <c r="D487" s="47"/>
      <c r="I487" s="47"/>
    </row>
    <row r="488" ht="15.75" customHeight="1">
      <c r="D488" s="47"/>
      <c r="I488" s="47"/>
    </row>
    <row r="489" ht="15.75" customHeight="1">
      <c r="D489" s="47"/>
      <c r="I489" s="47"/>
    </row>
    <row r="490" ht="15.75" customHeight="1">
      <c r="D490" s="47"/>
      <c r="I490" s="47"/>
    </row>
    <row r="491" ht="15.75" customHeight="1">
      <c r="D491" s="47"/>
      <c r="I491" s="47"/>
    </row>
    <row r="492" ht="15.75" customHeight="1">
      <c r="D492" s="47"/>
      <c r="I492" s="47"/>
    </row>
    <row r="493" ht="15.75" customHeight="1">
      <c r="D493" s="47"/>
      <c r="I493" s="47"/>
    </row>
    <row r="494" ht="15.75" customHeight="1">
      <c r="D494" s="47"/>
      <c r="I494" s="47"/>
    </row>
    <row r="495" ht="15.75" customHeight="1">
      <c r="D495" s="47"/>
      <c r="I495" s="47"/>
    </row>
    <row r="496" ht="15.75" customHeight="1">
      <c r="D496" s="47"/>
      <c r="I496" s="47"/>
    </row>
    <row r="497" ht="15.75" customHeight="1">
      <c r="D497" s="47"/>
      <c r="I497" s="47"/>
    </row>
    <row r="498" ht="15.75" customHeight="1">
      <c r="D498" s="47"/>
      <c r="I498" s="47"/>
    </row>
    <row r="499" ht="15.75" customHeight="1">
      <c r="D499" s="47"/>
      <c r="I499" s="47"/>
    </row>
    <row r="500" ht="15.75" customHeight="1">
      <c r="D500" s="47"/>
      <c r="I500" s="47"/>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I2:I999">
    <cfRule type="expression" dxfId="1" priority="1">
      <formula>$I2="active"</formula>
    </cfRule>
  </conditionalFormatting>
  <conditionalFormatting sqref="I2:I999">
    <cfRule type="expression" dxfId="1" priority="2">
      <formula>$I2="completed"</formula>
    </cfRule>
  </conditionalFormatting>
  <conditionalFormatting sqref="I2:I999">
    <cfRule type="expression" dxfId="1" priority="3">
      <formula>$I2="paid"</formula>
    </cfRule>
  </conditionalFormatting>
  <conditionalFormatting sqref="I2:I999">
    <cfRule type="expression" dxfId="1" priority="4">
      <formula>$I2="present"</formula>
    </cfRule>
  </conditionalFormatting>
  <conditionalFormatting sqref="I2:I999">
    <cfRule type="expression" dxfId="2" priority="5">
      <formula>$I2="inactive"</formula>
    </cfRule>
  </conditionalFormatting>
  <conditionalFormatting sqref="I2:I999">
    <cfRule type="expression" dxfId="3" priority="6">
      <formula>$I2="absent"</formula>
    </cfRule>
  </conditionalFormatting>
  <conditionalFormatting sqref="I2:I999">
    <cfRule type="expression" dxfId="4" priority="7">
      <formula>$I2="late"</formula>
    </cfRule>
  </conditionalFormatting>
  <conditionalFormatting sqref="I2:I999">
    <cfRule type="expression" dxfId="4" priority="8">
      <formula>$I2="pending"</formula>
    </cfRule>
  </conditionalFormatting>
  <conditionalFormatting sqref="I2:I999">
    <cfRule type="expression" dxfId="3" priority="9">
      <formula>$I2="cancelled"</formula>
    </cfRule>
  </conditionalFormatting>
  <dataValidations>
    <dataValidation type="list" allowBlank="1" sqref="I2:I500">
      <formula1>DanhMuc!$N$2:$N$100</formula1>
    </dataValidation>
    <dataValidation type="list" allowBlank="1" sqref="D2:D500">
      <formula1>DanhMuc!$H$2:$H$100</formula1>
    </dataValidation>
  </dataValidations>
  <printOptions/>
  <pageMargins bottom="0.75" footer="0.0" header="0.0" left="0.7" right="0.7" top="0.75"/>
  <pageSetup orientation="landscape"/>
  <drawing r:id="rId2"/>
  <legacyDrawing r:id="rId3"/>
  <tableParts count="1">
    <tablePart r:id="rId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7316"/>
    <pageSetUpPr/>
  </sheetPr>
  <sheetViews>
    <sheetView showGridLines="0" workbookViewId="0">
      <pane ySplit="1" topLeftCell="A2" activePane="bottomLeft" state="frozen"/>
      <selection pane="bottomLeft"/>
    </sheetView>
  </sheetViews>
  <sheetFormatPr customHeight="1" defaultColWidth="12.63" defaultRowHeight="15.0"/>
  <cols>
    <col min="1" max="1" width="10" customWidth="1"/>
    <col min="2" max="2" width="13" customWidth="1"/>
    <col min="3" max="3" width="10" customWidth="1"/>
    <col min="4" max="4" width="10" customWidth="1"/>
    <col min="5" max="5" width="42" customWidth="1"/>
    <col min="6" max="6" width="11" customWidth="1"/>
    <col min="7" max="7" width="22" customWidth="1"/>
    <col min="8" max="8" width="42" customWidth="1"/>
    <col min="9" max="9" width="21" customWidth="1"/>
    <col min="10" max="10" width="21" customWidth="1"/>
  </cols>
  <sheetData>
    <row r="1" ht="31.5" customHeight="1">
      <c r="A1" s="3" t="s">
        <v>545</v>
      </c>
      <c r="B1" s="3" t="s">
        <v>499</v>
      </c>
      <c r="C1" s="3" t="s">
        <v>127</v>
      </c>
      <c r="D1" s="3" t="s">
        <v>498</v>
      </c>
      <c r="E1" s="3" t="s">
        <v>546</v>
      </c>
      <c r="F1" s="3" t="s">
        <v>140</v>
      </c>
      <c r="G1" s="3" t="s">
        <v>547</v>
      </c>
      <c r="H1" s="3" t="s">
        <v>145</v>
      </c>
      <c r="I1" s="3" t="s">
        <v>146</v>
      </c>
      <c r="J1" s="3" t="s">
        <v>113</v>
      </c>
    </row>
    <row r="2">
      <c r="A2" s="61"/>
      <c r="B2" s="62"/>
      <c r="C2" s="61"/>
      <c r="D2" s="64"/>
      <c r="E2" s="61"/>
      <c r="F2" s="61"/>
      <c r="G2" s="61"/>
      <c r="H2" s="61"/>
      <c r="I2" s="62"/>
      <c r="J2" s="62"/>
    </row>
    <row r="3">
      <c r="A3" s="61"/>
      <c r="B3" s="65"/>
      <c r="C3" s="61"/>
      <c r="D3" s="61"/>
      <c r="E3" s="61"/>
      <c r="F3" s="61"/>
      <c r="G3" s="61"/>
      <c r="H3" s="61"/>
      <c r="I3" s="66"/>
      <c r="J3" s="66"/>
    </row>
    <row r="4">
      <c r="A4" s="61"/>
      <c r="B4" s="65"/>
      <c r="C4" s="61"/>
      <c r="D4" s="61"/>
      <c r="E4" s="61"/>
      <c r="F4" s="61"/>
      <c r="G4" s="61"/>
      <c r="H4" s="61"/>
      <c r="I4" s="66"/>
      <c r="J4" s="66"/>
    </row>
    <row r="5">
      <c r="A5" s="61"/>
      <c r="B5" s="65"/>
      <c r="C5" s="61"/>
      <c r="D5" s="61"/>
      <c r="E5" s="61"/>
      <c r="F5" s="61"/>
      <c r="G5" s="61"/>
      <c r="H5" s="61"/>
      <c r="I5" s="66"/>
      <c r="J5" s="66"/>
    </row>
    <row r="6">
      <c r="A6" s="61"/>
      <c r="B6" s="65"/>
      <c r="C6" s="61"/>
      <c r="D6" s="61"/>
      <c r="E6" s="61"/>
      <c r="F6" s="61"/>
      <c r="G6" s="61"/>
      <c r="H6" s="61"/>
      <c r="I6" s="66"/>
      <c r="J6" s="66"/>
    </row>
    <row r="7">
      <c r="A7" s="61"/>
      <c r="B7" s="65"/>
      <c r="C7" s="61"/>
      <c r="D7" s="61"/>
      <c r="E7" s="61"/>
      <c r="F7" s="61"/>
      <c r="G7" s="61"/>
      <c r="H7" s="61"/>
      <c r="I7" s="66"/>
      <c r="J7" s="66"/>
    </row>
    <row r="8">
      <c r="A8" s="61"/>
      <c r="B8" s="65"/>
      <c r="C8" s="61"/>
      <c r="D8" s="61"/>
      <c r="E8" s="61"/>
      <c r="F8" s="61"/>
      <c r="G8" s="61"/>
      <c r="H8" s="61"/>
      <c r="I8" s="66"/>
      <c r="J8" s="66"/>
    </row>
    <row r="9">
      <c r="A9" s="61"/>
      <c r="B9" s="65"/>
      <c r="C9" s="61"/>
      <c r="D9" s="61"/>
      <c r="E9" s="61"/>
      <c r="F9" s="61"/>
      <c r="G9" s="61"/>
      <c r="H9" s="61"/>
      <c r="I9" s="66"/>
      <c r="J9" s="66"/>
    </row>
    <row r="10">
      <c r="A10" s="61"/>
      <c r="B10" s="65"/>
      <c r="C10" s="61"/>
      <c r="D10" s="61"/>
      <c r="E10" s="61"/>
      <c r="F10" s="61"/>
      <c r="G10" s="61"/>
      <c r="H10" s="61"/>
      <c r="I10" s="66"/>
      <c r="J10" s="66"/>
    </row>
    <row r="11">
      <c r="A11" s="61"/>
      <c r="B11" s="65"/>
      <c r="C11" s="61"/>
      <c r="D11" s="61"/>
      <c r="E11" s="61"/>
      <c r="F11" s="61"/>
      <c r="G11" s="61"/>
      <c r="H11" s="61"/>
      <c r="I11" s="66"/>
      <c r="J11" s="66"/>
    </row>
    <row r="12">
      <c r="A12" s="61"/>
      <c r="B12" s="65"/>
      <c r="C12" s="61"/>
      <c r="D12" s="61"/>
      <c r="E12" s="61"/>
      <c r="F12" s="61"/>
      <c r="G12" s="61"/>
      <c r="H12" s="61"/>
      <c r="I12" s="66"/>
      <c r="J12" s="66"/>
    </row>
    <row r="13">
      <c r="A13" s="61"/>
      <c r="B13" s="65"/>
      <c r="C13" s="61"/>
      <c r="D13" s="61"/>
      <c r="E13" s="61"/>
      <c r="F13" s="61"/>
      <c r="G13" s="61"/>
      <c r="H13" s="61"/>
      <c r="I13" s="66"/>
      <c r="J13" s="66"/>
    </row>
    <row r="14">
      <c r="A14" s="61"/>
      <c r="B14" s="65"/>
      <c r="C14" s="61"/>
      <c r="D14" s="61"/>
      <c r="E14" s="61"/>
      <c r="F14" s="61"/>
      <c r="G14" s="61"/>
      <c r="H14" s="61"/>
      <c r="I14" s="66"/>
      <c r="J14" s="66"/>
    </row>
    <row r="15">
      <c r="A15" s="61"/>
      <c r="B15" s="65"/>
      <c r="C15" s="61"/>
      <c r="D15" s="61"/>
      <c r="E15" s="61"/>
      <c r="F15" s="61"/>
      <c r="G15" s="61"/>
      <c r="H15" s="61"/>
      <c r="I15" s="66"/>
      <c r="J15" s="66"/>
    </row>
    <row r="16">
      <c r="A16" s="61"/>
      <c r="B16" s="65"/>
      <c r="C16" s="61"/>
      <c r="D16" s="61"/>
      <c r="E16" s="61"/>
      <c r="F16" s="61"/>
      <c r="G16" s="61"/>
      <c r="H16" s="61"/>
      <c r="I16" s="66"/>
      <c r="J16" s="66"/>
    </row>
    <row r="17">
      <c r="A17" s="61"/>
      <c r="B17" s="65"/>
      <c r="C17" s="61"/>
      <c r="D17" s="61"/>
      <c r="E17" s="61"/>
      <c r="F17" s="61"/>
      <c r="G17" s="61"/>
      <c r="H17" s="61"/>
      <c r="I17" s="66"/>
      <c r="J17" s="66"/>
    </row>
    <row r="18">
      <c r="A18" s="61"/>
      <c r="B18" s="65"/>
      <c r="C18" s="61"/>
      <c r="D18" s="61"/>
      <c r="E18" s="61"/>
      <c r="F18" s="61"/>
      <c r="G18" s="61"/>
      <c r="H18" s="61"/>
      <c r="I18" s="66"/>
      <c r="J18" s="66"/>
    </row>
    <row r="19">
      <c r="A19" s="61"/>
      <c r="B19" s="65"/>
      <c r="C19" s="61"/>
      <c r="D19" s="61"/>
      <c r="E19" s="61"/>
      <c r="F19" s="61"/>
      <c r="G19" s="61"/>
      <c r="H19" s="61"/>
      <c r="I19" s="66"/>
      <c r="J19" s="66"/>
    </row>
    <row r="20">
      <c r="A20" s="61"/>
      <c r="B20" s="65"/>
      <c r="C20" s="61"/>
      <c r="D20" s="61"/>
      <c r="E20" s="61"/>
      <c r="F20" s="61"/>
      <c r="G20" s="61"/>
      <c r="H20" s="61"/>
      <c r="I20" s="66"/>
      <c r="J20" s="66"/>
    </row>
    <row r="21" ht="15.75" customHeight="1">
      <c r="A21" s="61"/>
      <c r="B21" s="65"/>
      <c r="C21" s="61"/>
      <c r="D21" s="61"/>
      <c r="E21" s="61"/>
      <c r="F21" s="61"/>
      <c r="G21" s="61"/>
      <c r="H21" s="61"/>
      <c r="I21" s="66"/>
      <c r="J21" s="66"/>
    </row>
    <row r="22" ht="15.75" customHeight="1">
      <c r="A22" s="61"/>
      <c r="B22" s="65"/>
      <c r="C22" s="61"/>
      <c r="D22" s="61"/>
      <c r="E22" s="61"/>
      <c r="F22" s="61"/>
      <c r="G22" s="61"/>
      <c r="H22" s="61"/>
      <c r="I22" s="66"/>
      <c r="J22" s="66"/>
    </row>
    <row r="23" ht="15.75" customHeight="1">
      <c r="A23" s="61"/>
      <c r="B23" s="65"/>
      <c r="C23" s="61"/>
      <c r="D23" s="61"/>
      <c r="E23" s="61"/>
      <c r="F23" s="61"/>
      <c r="G23" s="61"/>
      <c r="H23" s="61"/>
      <c r="I23" s="66"/>
      <c r="J23" s="66"/>
    </row>
    <row r="24" ht="15.75" customHeight="1">
      <c r="A24" s="61"/>
      <c r="B24" s="65"/>
      <c r="C24" s="61"/>
      <c r="D24" s="61"/>
      <c r="E24" s="61"/>
      <c r="F24" s="61"/>
      <c r="G24" s="61"/>
      <c r="H24" s="61"/>
      <c r="I24" s="66"/>
      <c r="J24" s="66"/>
    </row>
    <row r="25" ht="15.75" customHeight="1">
      <c r="A25" s="61"/>
      <c r="B25" s="65"/>
      <c r="C25" s="61"/>
      <c r="D25" s="61"/>
      <c r="E25" s="61"/>
      <c r="F25" s="61"/>
      <c r="G25" s="61"/>
      <c r="H25" s="61"/>
      <c r="I25" s="66"/>
      <c r="J25" s="66"/>
    </row>
    <row r="26" ht="15.75" customHeight="1">
      <c r="A26" s="61"/>
      <c r="B26" s="65"/>
      <c r="C26" s="61"/>
      <c r="D26" s="61"/>
      <c r="E26" s="61"/>
      <c r="F26" s="61"/>
      <c r="G26" s="61"/>
      <c r="H26" s="61"/>
      <c r="I26" s="66"/>
      <c r="J26" s="66"/>
    </row>
    <row r="27" ht="15.75" customHeight="1">
      <c r="A27" s="61"/>
      <c r="B27" s="65"/>
      <c r="C27" s="61"/>
      <c r="D27" s="61"/>
      <c r="E27" s="61"/>
      <c r="F27" s="61"/>
      <c r="G27" s="61"/>
      <c r="H27" s="61"/>
      <c r="I27" s="66"/>
      <c r="J27" s="66"/>
    </row>
    <row r="28" ht="15.75" customHeight="1">
      <c r="A28" s="61"/>
      <c r="B28" s="65"/>
      <c r="C28" s="61"/>
      <c r="D28" s="61"/>
      <c r="E28" s="61"/>
      <c r="F28" s="61"/>
      <c r="G28" s="61"/>
      <c r="H28" s="61"/>
      <c r="I28" s="66"/>
      <c r="J28" s="66"/>
    </row>
    <row r="29" ht="15.75" customHeight="1">
      <c r="A29" s="61"/>
      <c r="B29" s="65"/>
      <c r="C29" s="61"/>
      <c r="D29" s="61"/>
      <c r="E29" s="61"/>
      <c r="F29" s="61"/>
      <c r="G29" s="61"/>
      <c r="H29" s="61"/>
      <c r="I29" s="66"/>
      <c r="J29" s="66"/>
    </row>
    <row r="30" ht="15.75" customHeight="1">
      <c r="A30" s="61"/>
      <c r="B30" s="65"/>
      <c r="C30" s="61"/>
      <c r="D30" s="61"/>
      <c r="E30" s="61"/>
      <c r="F30" s="61"/>
      <c r="G30" s="61"/>
      <c r="H30" s="61"/>
      <c r="I30" s="66"/>
      <c r="J30" s="66"/>
    </row>
    <row r="31" ht="15.75" customHeight="1">
      <c r="A31" s="61"/>
      <c r="B31" s="65"/>
      <c r="C31" s="61"/>
      <c r="D31" s="61"/>
      <c r="E31" s="61"/>
      <c r="F31" s="61"/>
      <c r="G31" s="61"/>
      <c r="H31" s="61"/>
      <c r="I31" s="66"/>
      <c r="J31" s="66"/>
    </row>
    <row r="32" ht="15.75" customHeight="1">
      <c r="A32" s="61"/>
      <c r="B32" s="65"/>
      <c r="C32" s="61"/>
      <c r="D32" s="61"/>
      <c r="E32" s="61"/>
      <c r="F32" s="61"/>
      <c r="G32" s="61"/>
      <c r="H32" s="61"/>
      <c r="I32" s="66"/>
      <c r="J32" s="66"/>
    </row>
    <row r="33" ht="15.75" customHeight="1">
      <c r="A33" s="61"/>
      <c r="B33" s="65"/>
      <c r="C33" s="61"/>
      <c r="D33" s="61"/>
      <c r="E33" s="61"/>
      <c r="F33" s="61"/>
      <c r="G33" s="61"/>
      <c r="H33" s="61"/>
      <c r="I33" s="66"/>
      <c r="J33" s="66"/>
    </row>
    <row r="34" ht="15.75" customHeight="1">
      <c r="A34" s="61"/>
      <c r="B34" s="65"/>
      <c r="C34" s="61"/>
      <c r="D34" s="61"/>
      <c r="E34" s="61"/>
      <c r="F34" s="61"/>
      <c r="G34" s="61"/>
      <c r="H34" s="61"/>
      <c r="I34" s="66"/>
      <c r="J34" s="66"/>
    </row>
    <row r="35" ht="15.75" customHeight="1">
      <c r="A35" s="61"/>
      <c r="B35" s="65"/>
      <c r="C35" s="61"/>
      <c r="D35" s="61"/>
      <c r="E35" s="61"/>
      <c r="F35" s="61"/>
      <c r="G35" s="61"/>
      <c r="H35" s="61"/>
      <c r="I35" s="66"/>
      <c r="J35" s="66"/>
    </row>
    <row r="36" ht="15.75" customHeight="1">
      <c r="A36" s="61"/>
      <c r="B36" s="65"/>
      <c r="C36" s="61"/>
      <c r="D36" s="61"/>
      <c r="E36" s="61"/>
      <c r="F36" s="61"/>
      <c r="G36" s="61"/>
      <c r="H36" s="61"/>
      <c r="I36" s="66"/>
      <c r="J36" s="66"/>
    </row>
    <row r="37" ht="15.75" customHeight="1">
      <c r="A37" s="61"/>
      <c r="B37" s="65"/>
      <c r="C37" s="61"/>
      <c r="D37" s="61"/>
      <c r="E37" s="61"/>
      <c r="F37" s="61"/>
      <c r="G37" s="61"/>
      <c r="H37" s="61"/>
      <c r="I37" s="66"/>
      <c r="J37" s="66"/>
    </row>
    <row r="38" ht="15.75" customHeight="1">
      <c r="A38" s="61"/>
      <c r="B38" s="65"/>
      <c r="C38" s="61"/>
      <c r="D38" s="61"/>
      <c r="E38" s="61"/>
      <c r="F38" s="61"/>
      <c r="G38" s="61"/>
      <c r="H38" s="61"/>
      <c r="I38" s="66"/>
      <c r="J38" s="66"/>
    </row>
    <row r="39" ht="15.75" customHeight="1">
      <c r="A39" s="61"/>
      <c r="B39" s="65"/>
      <c r="C39" s="61"/>
      <c r="D39" s="61"/>
      <c r="E39" s="61"/>
      <c r="F39" s="61"/>
      <c r="G39" s="61"/>
      <c r="H39" s="61"/>
      <c r="I39" s="66"/>
      <c r="J39" s="66"/>
    </row>
    <row r="40" ht="15.75" customHeight="1">
      <c r="A40" s="61"/>
      <c r="B40" s="65"/>
      <c r="C40" s="61"/>
      <c r="D40" s="61"/>
      <c r="E40" s="61"/>
      <c r="F40" s="61"/>
      <c r="G40" s="61"/>
      <c r="H40" s="61"/>
      <c r="I40" s="66"/>
      <c r="J40" s="66"/>
    </row>
    <row r="41" ht="15.75" customHeight="1">
      <c r="A41" s="61"/>
      <c r="B41" s="65"/>
      <c r="C41" s="61"/>
      <c r="D41" s="61"/>
      <c r="E41" s="61"/>
      <c r="F41" s="61"/>
      <c r="G41" s="61"/>
      <c r="H41" s="61"/>
      <c r="I41" s="66"/>
      <c r="J41" s="66"/>
    </row>
    <row r="42" ht="15.75" customHeight="1">
      <c r="A42" s="61"/>
      <c r="B42" s="65"/>
      <c r="C42" s="61"/>
      <c r="D42" s="61"/>
      <c r="E42" s="61"/>
      <c r="F42" s="61"/>
      <c r="G42" s="61"/>
      <c r="H42" s="61"/>
      <c r="I42" s="66"/>
      <c r="J42" s="66"/>
    </row>
    <row r="43" ht="15.75" customHeight="1">
      <c r="A43" s="61"/>
      <c r="B43" s="65"/>
      <c r="C43" s="61"/>
      <c r="D43" s="61"/>
      <c r="E43" s="61"/>
      <c r="F43" s="61"/>
      <c r="G43" s="61"/>
      <c r="H43" s="61"/>
      <c r="I43" s="66"/>
      <c r="J43" s="66"/>
    </row>
    <row r="44" ht="15.75" customHeight="1">
      <c r="A44" s="61"/>
      <c r="B44" s="65"/>
      <c r="C44" s="61"/>
      <c r="D44" s="61"/>
      <c r="E44" s="61"/>
      <c r="F44" s="61"/>
      <c r="G44" s="61"/>
      <c r="H44" s="61"/>
      <c r="I44" s="66"/>
      <c r="J44" s="66"/>
    </row>
    <row r="45" ht="15.75" customHeight="1">
      <c r="A45" s="61"/>
      <c r="B45" s="65"/>
      <c r="C45" s="61"/>
      <c r="D45" s="61"/>
      <c r="E45" s="61"/>
      <c r="F45" s="61"/>
      <c r="G45" s="61"/>
      <c r="H45" s="61"/>
      <c r="I45" s="66"/>
      <c r="J45" s="66"/>
    </row>
    <row r="46" ht="15.75" customHeight="1">
      <c r="A46" s="61"/>
      <c r="B46" s="65"/>
      <c r="C46" s="61"/>
      <c r="D46" s="61"/>
      <c r="E46" s="61"/>
      <c r="F46" s="61"/>
      <c r="G46" s="61"/>
      <c r="H46" s="61"/>
      <c r="I46" s="66"/>
      <c r="J46" s="66"/>
    </row>
    <row r="47" ht="15.75" customHeight="1">
      <c r="A47" s="61"/>
      <c r="B47" s="65"/>
      <c r="C47" s="61"/>
      <c r="D47" s="61"/>
      <c r="E47" s="61"/>
      <c r="F47" s="61"/>
      <c r="G47" s="61"/>
      <c r="H47" s="61"/>
      <c r="I47" s="66"/>
      <c r="J47" s="66"/>
    </row>
    <row r="48" ht="15.75" customHeight="1">
      <c r="A48" s="61"/>
      <c r="B48" s="65"/>
      <c r="C48" s="61"/>
      <c r="D48" s="61"/>
      <c r="E48" s="61"/>
      <c r="F48" s="61"/>
      <c r="G48" s="61"/>
      <c r="H48" s="61"/>
      <c r="I48" s="66"/>
      <c r="J48" s="66"/>
    </row>
    <row r="49" ht="15.75" customHeight="1">
      <c r="A49" s="61"/>
      <c r="B49" s="65"/>
      <c r="C49" s="61"/>
      <c r="D49" s="61"/>
      <c r="E49" s="61"/>
      <c r="F49" s="61"/>
      <c r="G49" s="61"/>
      <c r="H49" s="61"/>
      <c r="I49" s="66"/>
      <c r="J49" s="66"/>
    </row>
    <row r="50" ht="15.75" customHeight="1">
      <c r="A50" s="61"/>
      <c r="B50" s="65"/>
      <c r="C50" s="61"/>
      <c r="D50" s="61"/>
      <c r="E50" s="61"/>
      <c r="F50" s="61"/>
      <c r="G50" s="61"/>
      <c r="H50" s="61"/>
      <c r="I50" s="66"/>
      <c r="J50" s="66"/>
    </row>
    <row r="51" ht="15.75" customHeight="1">
      <c r="A51" s="61"/>
      <c r="B51" s="65"/>
      <c r="C51" s="61"/>
      <c r="D51" s="61"/>
      <c r="E51" s="61"/>
      <c r="F51" s="61"/>
      <c r="G51" s="61"/>
      <c r="H51" s="61"/>
      <c r="I51" s="66"/>
      <c r="J51" s="66"/>
    </row>
    <row r="52" ht="15.75" customHeight="1">
      <c r="A52" s="61"/>
      <c r="B52" s="65"/>
      <c r="C52" s="61"/>
      <c r="D52" s="61"/>
      <c r="E52" s="61"/>
      <c r="F52" s="61"/>
      <c r="G52" s="61"/>
      <c r="H52" s="61"/>
      <c r="I52" s="66"/>
      <c r="J52" s="66"/>
    </row>
    <row r="53" ht="15.75" customHeight="1">
      <c r="A53" s="61"/>
      <c r="B53" s="65"/>
      <c r="C53" s="61"/>
      <c r="D53" s="61"/>
      <c r="E53" s="61"/>
      <c r="F53" s="61"/>
      <c r="G53" s="61"/>
      <c r="H53" s="61"/>
      <c r="I53" s="66"/>
      <c r="J53" s="66"/>
    </row>
    <row r="54" ht="15.75" customHeight="1">
      <c r="A54" s="61"/>
      <c r="B54" s="65"/>
      <c r="C54" s="61"/>
      <c r="D54" s="61"/>
      <c r="E54" s="61"/>
      <c r="F54" s="61"/>
      <c r="G54" s="61"/>
      <c r="H54" s="61"/>
      <c r="I54" s="66"/>
      <c r="J54" s="66"/>
    </row>
    <row r="55" ht="15.75" customHeight="1">
      <c r="A55" s="61"/>
      <c r="B55" s="65"/>
      <c r="C55" s="61"/>
      <c r="D55" s="61"/>
      <c r="E55" s="61"/>
      <c r="F55" s="61"/>
      <c r="G55" s="61"/>
      <c r="H55" s="61"/>
      <c r="I55" s="66"/>
      <c r="J55" s="66"/>
    </row>
    <row r="56" ht="15.75" customHeight="1">
      <c r="A56" s="61"/>
      <c r="B56" s="65"/>
      <c r="C56" s="61"/>
      <c r="D56" s="61"/>
      <c r="E56" s="61"/>
      <c r="F56" s="61"/>
      <c r="G56" s="61"/>
      <c r="H56" s="61"/>
      <c r="I56" s="66"/>
      <c r="J56" s="66"/>
    </row>
    <row r="57" ht="15.75" customHeight="1">
      <c r="A57" s="61"/>
      <c r="B57" s="65"/>
      <c r="C57" s="61"/>
      <c r="D57" s="61"/>
      <c r="E57" s="61"/>
      <c r="F57" s="61"/>
      <c r="G57" s="61"/>
      <c r="H57" s="61"/>
      <c r="I57" s="66"/>
      <c r="J57" s="66"/>
    </row>
    <row r="58" ht="15.75" customHeight="1">
      <c r="A58" s="61"/>
      <c r="B58" s="65"/>
      <c r="C58" s="61"/>
      <c r="D58" s="61"/>
      <c r="E58" s="61"/>
      <c r="F58" s="61"/>
      <c r="G58" s="61"/>
      <c r="H58" s="61"/>
      <c r="I58" s="66"/>
      <c r="J58" s="66"/>
    </row>
    <row r="59" ht="15.75" customHeight="1">
      <c r="A59" s="61"/>
      <c r="B59" s="65"/>
      <c r="C59" s="61"/>
      <c r="D59" s="61"/>
      <c r="E59" s="61"/>
      <c r="F59" s="61"/>
      <c r="G59" s="61"/>
      <c r="H59" s="61"/>
      <c r="I59" s="66"/>
      <c r="J59" s="66"/>
    </row>
    <row r="60" ht="15.75" customHeight="1">
      <c r="A60" s="61"/>
      <c r="B60" s="65"/>
      <c r="C60" s="61"/>
      <c r="D60" s="61"/>
      <c r="E60" s="61"/>
      <c r="F60" s="61"/>
      <c r="G60" s="61"/>
      <c r="H60" s="61"/>
      <c r="I60" s="66"/>
      <c r="J60" s="66"/>
    </row>
    <row r="61" ht="15.75" customHeight="1">
      <c r="A61" s="61"/>
      <c r="B61" s="65"/>
      <c r="C61" s="61"/>
      <c r="D61" s="61"/>
      <c r="E61" s="61"/>
      <c r="F61" s="61"/>
      <c r="G61" s="61"/>
      <c r="H61" s="61"/>
      <c r="I61" s="66"/>
      <c r="J61" s="66"/>
    </row>
    <row r="62" ht="15.75" customHeight="1">
      <c r="A62" s="61"/>
      <c r="B62" s="65"/>
      <c r="C62" s="61"/>
      <c r="D62" s="61"/>
      <c r="E62" s="61"/>
      <c r="F62" s="61"/>
      <c r="G62" s="61"/>
      <c r="H62" s="61"/>
      <c r="I62" s="66"/>
      <c r="J62" s="66"/>
    </row>
    <row r="63" ht="15.75" customHeight="1">
      <c r="A63" s="61"/>
      <c r="B63" s="65"/>
      <c r="C63" s="61"/>
      <c r="D63" s="61"/>
      <c r="E63" s="61"/>
      <c r="F63" s="61"/>
      <c r="G63" s="61"/>
      <c r="H63" s="61"/>
      <c r="I63" s="66"/>
      <c r="J63" s="66"/>
    </row>
    <row r="64" ht="15.75" customHeight="1">
      <c r="A64" s="61"/>
      <c r="B64" s="65"/>
      <c r="C64" s="61"/>
      <c r="D64" s="61"/>
      <c r="E64" s="61"/>
      <c r="F64" s="61"/>
      <c r="G64" s="61"/>
      <c r="H64" s="61"/>
      <c r="I64" s="66"/>
      <c r="J64" s="66"/>
    </row>
    <row r="65" ht="15.75" customHeight="1">
      <c r="A65" s="61"/>
      <c r="B65" s="65"/>
      <c r="C65" s="61"/>
      <c r="D65" s="61"/>
      <c r="E65" s="61"/>
      <c r="F65" s="61"/>
      <c r="G65" s="61"/>
      <c r="H65" s="61"/>
      <c r="I65" s="66"/>
      <c r="J65" s="66"/>
    </row>
    <row r="66" ht="15.75" customHeight="1">
      <c r="A66" s="61"/>
      <c r="B66" s="65"/>
      <c r="C66" s="61"/>
      <c r="D66" s="61"/>
      <c r="E66" s="61"/>
      <c r="F66" s="61"/>
      <c r="G66" s="61"/>
      <c r="H66" s="61"/>
      <c r="I66" s="66"/>
      <c r="J66" s="66"/>
    </row>
    <row r="67" ht="15.75" customHeight="1">
      <c r="A67" s="61"/>
      <c r="B67" s="65"/>
      <c r="C67" s="61"/>
      <c r="D67" s="61"/>
      <c r="E67" s="61"/>
      <c r="F67" s="61"/>
      <c r="G67" s="61"/>
      <c r="H67" s="61"/>
      <c r="I67" s="66"/>
      <c r="J67" s="66"/>
    </row>
    <row r="68" ht="15.75" customHeight="1">
      <c r="A68" s="61"/>
      <c r="B68" s="65"/>
      <c r="C68" s="61"/>
      <c r="D68" s="61"/>
      <c r="E68" s="61"/>
      <c r="F68" s="61"/>
      <c r="G68" s="61"/>
      <c r="H68" s="61"/>
      <c r="I68" s="66"/>
      <c r="J68" s="66"/>
    </row>
    <row r="69" ht="15.75" customHeight="1">
      <c r="A69" s="61"/>
      <c r="B69" s="65"/>
      <c r="C69" s="61"/>
      <c r="D69" s="61"/>
      <c r="E69" s="61"/>
      <c r="F69" s="61"/>
      <c r="G69" s="61"/>
      <c r="H69" s="61"/>
      <c r="I69" s="66"/>
      <c r="J69" s="66"/>
    </row>
    <row r="70" ht="15.75" customHeight="1">
      <c r="A70" s="61"/>
      <c r="B70" s="65"/>
      <c r="C70" s="61"/>
      <c r="D70" s="61"/>
      <c r="E70" s="61"/>
      <c r="F70" s="61"/>
      <c r="G70" s="61"/>
      <c r="H70" s="61"/>
      <c r="I70" s="66"/>
      <c r="J70" s="66"/>
    </row>
    <row r="71" ht="15.75" customHeight="1">
      <c r="A71" s="61"/>
      <c r="B71" s="65"/>
      <c r="C71" s="61"/>
      <c r="D71" s="61"/>
      <c r="E71" s="61"/>
      <c r="F71" s="61"/>
      <c r="G71" s="61"/>
      <c r="H71" s="61"/>
      <c r="I71" s="66"/>
      <c r="J71" s="66"/>
    </row>
    <row r="72" ht="15.75" customHeight="1">
      <c r="A72" s="61"/>
      <c r="B72" s="65"/>
      <c r="C72" s="61"/>
      <c r="D72" s="61"/>
      <c r="E72" s="61"/>
      <c r="F72" s="61"/>
      <c r="G72" s="61"/>
      <c r="H72" s="61"/>
      <c r="I72" s="66"/>
      <c r="J72" s="66"/>
    </row>
    <row r="73" ht="15.75" customHeight="1">
      <c r="A73" s="61"/>
      <c r="B73" s="65"/>
      <c r="C73" s="61"/>
      <c r="D73" s="61"/>
      <c r="E73" s="61"/>
      <c r="F73" s="61"/>
      <c r="G73" s="61"/>
      <c r="H73" s="61"/>
      <c r="I73" s="66"/>
      <c r="J73" s="66"/>
    </row>
    <row r="74" ht="15.75" customHeight="1">
      <c r="A74" s="61"/>
      <c r="B74" s="65"/>
      <c r="C74" s="61"/>
      <c r="D74" s="61"/>
      <c r="E74" s="61"/>
      <c r="F74" s="61"/>
      <c r="G74" s="61"/>
      <c r="H74" s="61"/>
      <c r="I74" s="66"/>
      <c r="J74" s="66"/>
    </row>
    <row r="75" ht="15.75" customHeight="1">
      <c r="A75" s="61"/>
      <c r="B75" s="65"/>
      <c r="C75" s="61"/>
      <c r="D75" s="61"/>
      <c r="E75" s="61"/>
      <c r="F75" s="61"/>
      <c r="G75" s="61"/>
      <c r="H75" s="61"/>
      <c r="I75" s="66"/>
      <c r="J75" s="66"/>
    </row>
    <row r="76" ht="15.75" customHeight="1">
      <c r="A76" s="61"/>
      <c r="B76" s="65"/>
      <c r="C76" s="61"/>
      <c r="D76" s="61"/>
      <c r="E76" s="61"/>
      <c r="F76" s="61"/>
      <c r="G76" s="61"/>
      <c r="H76" s="61"/>
      <c r="I76" s="66"/>
      <c r="J76" s="66"/>
    </row>
    <row r="77" ht="15.75" customHeight="1">
      <c r="A77" s="61"/>
      <c r="B77" s="65"/>
      <c r="C77" s="61"/>
      <c r="D77" s="61"/>
      <c r="E77" s="61"/>
      <c r="F77" s="61"/>
      <c r="G77" s="61"/>
      <c r="H77" s="61"/>
      <c r="I77" s="66"/>
      <c r="J77" s="66"/>
    </row>
    <row r="78" ht="15.75" customHeight="1">
      <c r="A78" s="61"/>
      <c r="B78" s="65"/>
      <c r="C78" s="61"/>
      <c r="D78" s="61"/>
      <c r="E78" s="61"/>
      <c r="F78" s="61"/>
      <c r="G78" s="61"/>
      <c r="H78" s="61"/>
      <c r="I78" s="66"/>
      <c r="J78" s="66"/>
    </row>
    <row r="79" ht="15.75" customHeight="1">
      <c r="A79" s="61"/>
      <c r="B79" s="65"/>
      <c r="C79" s="61"/>
      <c r="D79" s="61"/>
      <c r="E79" s="61"/>
      <c r="F79" s="61"/>
      <c r="G79" s="61"/>
      <c r="H79" s="61"/>
      <c r="I79" s="66"/>
      <c r="J79" s="66"/>
    </row>
    <row r="80" ht="15.75" customHeight="1">
      <c r="A80" s="61"/>
      <c r="B80" s="65"/>
      <c r="C80" s="61"/>
      <c r="D80" s="61"/>
      <c r="E80" s="61"/>
      <c r="F80" s="61"/>
      <c r="G80" s="61"/>
      <c r="H80" s="61"/>
      <c r="I80" s="66"/>
      <c r="J80" s="66"/>
    </row>
    <row r="81" ht="15.75" customHeight="1">
      <c r="A81" s="61"/>
      <c r="B81" s="65"/>
      <c r="C81" s="61"/>
      <c r="D81" s="61"/>
      <c r="E81" s="61"/>
      <c r="F81" s="61"/>
      <c r="G81" s="61"/>
      <c r="H81" s="61"/>
      <c r="I81" s="66"/>
      <c r="J81" s="66"/>
    </row>
    <row r="82" ht="15.75" customHeight="1">
      <c r="A82" s="61"/>
      <c r="B82" s="65"/>
      <c r="C82" s="61"/>
      <c r="D82" s="61"/>
      <c r="E82" s="61"/>
      <c r="F82" s="61"/>
      <c r="G82" s="61"/>
      <c r="H82" s="61"/>
      <c r="I82" s="66"/>
      <c r="J82" s="66"/>
    </row>
    <row r="83" ht="15.75" customHeight="1">
      <c r="A83" s="61"/>
      <c r="B83" s="65"/>
      <c r="C83" s="61"/>
      <c r="D83" s="61"/>
      <c r="E83" s="61"/>
      <c r="F83" s="61"/>
      <c r="G83" s="61"/>
      <c r="H83" s="61"/>
      <c r="I83" s="66"/>
      <c r="J83" s="66"/>
    </row>
    <row r="84" ht="15.75" customHeight="1">
      <c r="A84" s="61"/>
      <c r="B84" s="65"/>
      <c r="C84" s="61"/>
      <c r="D84" s="61"/>
      <c r="E84" s="61"/>
      <c r="F84" s="61"/>
      <c r="G84" s="61"/>
      <c r="H84" s="61"/>
      <c r="I84" s="66"/>
      <c r="J84" s="66"/>
    </row>
    <row r="85" ht="15.75" customHeight="1">
      <c r="A85" s="61"/>
      <c r="B85" s="65"/>
      <c r="C85" s="61"/>
      <c r="D85" s="61"/>
      <c r="E85" s="61"/>
      <c r="F85" s="61"/>
      <c r="G85" s="61"/>
      <c r="H85" s="61"/>
      <c r="I85" s="66"/>
      <c r="J85" s="66"/>
    </row>
    <row r="86" ht="15.75" customHeight="1">
      <c r="A86" s="61"/>
      <c r="B86" s="65"/>
      <c r="C86" s="61"/>
      <c r="D86" s="61"/>
      <c r="E86" s="61"/>
      <c r="F86" s="61"/>
      <c r="G86" s="61"/>
      <c r="H86" s="61"/>
      <c r="I86" s="66"/>
      <c r="J86" s="66"/>
    </row>
    <row r="87" ht="15.75" customHeight="1">
      <c r="A87" s="61"/>
      <c r="B87" s="65"/>
      <c r="C87" s="61"/>
      <c r="D87" s="61"/>
      <c r="E87" s="61"/>
      <c r="F87" s="61"/>
      <c r="G87" s="61"/>
      <c r="H87" s="61"/>
      <c r="I87" s="66"/>
      <c r="J87" s="66"/>
    </row>
    <row r="88" ht="15.75" customHeight="1">
      <c r="A88" s="61"/>
      <c r="B88" s="65"/>
      <c r="C88" s="61"/>
      <c r="D88" s="61"/>
      <c r="E88" s="61"/>
      <c r="F88" s="61"/>
      <c r="G88" s="61"/>
      <c r="H88" s="61"/>
      <c r="I88" s="66"/>
      <c r="J88" s="66"/>
    </row>
    <row r="89" ht="15.75" customHeight="1">
      <c r="A89" s="61"/>
      <c r="B89" s="65"/>
      <c r="C89" s="61"/>
      <c r="D89" s="61"/>
      <c r="E89" s="61"/>
      <c r="F89" s="61"/>
      <c r="G89" s="61"/>
      <c r="H89" s="61"/>
      <c r="I89" s="66"/>
      <c r="J89" s="66"/>
    </row>
    <row r="90" ht="15.75" customHeight="1">
      <c r="A90" s="61"/>
      <c r="B90" s="65"/>
      <c r="C90" s="61"/>
      <c r="D90" s="61"/>
      <c r="E90" s="61"/>
      <c r="F90" s="61"/>
      <c r="G90" s="61"/>
      <c r="H90" s="61"/>
      <c r="I90" s="66"/>
      <c r="J90" s="66"/>
    </row>
    <row r="91" ht="15.75" customHeight="1">
      <c r="A91" s="61"/>
      <c r="B91" s="65"/>
      <c r="C91" s="61"/>
      <c r="D91" s="61"/>
      <c r="E91" s="61"/>
      <c r="F91" s="61"/>
      <c r="G91" s="61"/>
      <c r="H91" s="61"/>
      <c r="I91" s="66"/>
      <c r="J91" s="66"/>
    </row>
    <row r="92" ht="15.75" customHeight="1">
      <c r="A92" s="61"/>
      <c r="B92" s="65"/>
      <c r="C92" s="61"/>
      <c r="D92" s="61"/>
      <c r="E92" s="61"/>
      <c r="F92" s="61"/>
      <c r="G92" s="61"/>
      <c r="H92" s="61"/>
      <c r="I92" s="66"/>
      <c r="J92" s="66"/>
    </row>
    <row r="93" ht="15.75" customHeight="1">
      <c r="A93" s="61"/>
      <c r="B93" s="65"/>
      <c r="C93" s="61"/>
      <c r="D93" s="61"/>
      <c r="E93" s="61"/>
      <c r="F93" s="61"/>
      <c r="G93" s="61"/>
      <c r="H93" s="61"/>
      <c r="I93" s="66"/>
      <c r="J93" s="66"/>
    </row>
    <row r="94" ht="15.75" customHeight="1">
      <c r="A94" s="61"/>
      <c r="B94" s="65"/>
      <c r="C94" s="61"/>
      <c r="D94" s="61"/>
      <c r="E94" s="61"/>
      <c r="F94" s="61"/>
      <c r="G94" s="61"/>
      <c r="H94" s="61"/>
      <c r="I94" s="66"/>
      <c r="J94" s="66"/>
    </row>
    <row r="95" ht="15.75" customHeight="1">
      <c r="A95" s="61"/>
      <c r="B95" s="65"/>
      <c r="C95" s="61"/>
      <c r="D95" s="61"/>
      <c r="E95" s="61"/>
      <c r="F95" s="61"/>
      <c r="G95" s="61"/>
      <c r="H95" s="61"/>
      <c r="I95" s="66"/>
      <c r="J95" s="66"/>
    </row>
    <row r="96" ht="15.75" customHeight="1">
      <c r="A96" s="61"/>
      <c r="B96" s="65"/>
      <c r="C96" s="61"/>
      <c r="D96" s="61"/>
      <c r="E96" s="61"/>
      <c r="F96" s="61"/>
      <c r="G96" s="61"/>
      <c r="H96" s="61"/>
      <c r="I96" s="66"/>
      <c r="J96" s="66"/>
    </row>
    <row r="97" ht="15.75" customHeight="1">
      <c r="A97" s="61"/>
      <c r="B97" s="65"/>
      <c r="C97" s="61"/>
      <c r="D97" s="61"/>
      <c r="E97" s="61"/>
      <c r="F97" s="61"/>
      <c r="G97" s="61"/>
      <c r="H97" s="61"/>
      <c r="I97" s="66"/>
      <c r="J97" s="66"/>
    </row>
    <row r="98" ht="15.75" customHeight="1">
      <c r="A98" s="61"/>
      <c r="B98" s="65"/>
      <c r="C98" s="61"/>
      <c r="D98" s="61"/>
      <c r="E98" s="61"/>
      <c r="F98" s="61"/>
      <c r="G98" s="61"/>
      <c r="H98" s="61"/>
      <c r="I98" s="66"/>
      <c r="J98" s="66"/>
    </row>
    <row r="99" ht="15.75" customHeight="1">
      <c r="A99" s="61"/>
      <c r="B99" s="65"/>
      <c r="C99" s="61"/>
      <c r="D99" s="61"/>
      <c r="E99" s="61"/>
      <c r="F99" s="61"/>
      <c r="G99" s="61"/>
      <c r="H99" s="61"/>
      <c r="I99" s="66"/>
      <c r="J99" s="66"/>
    </row>
    <row r="100" ht="15.75" customHeight="1">
      <c r="A100" s="61"/>
      <c r="B100" s="65"/>
      <c r="C100" s="61"/>
      <c r="D100" s="61"/>
      <c r="E100" s="61"/>
      <c r="F100" s="61"/>
      <c r="G100" s="61"/>
      <c r="H100" s="61"/>
      <c r="I100" s="66"/>
      <c r="J100" s="66"/>
    </row>
    <row r="101" ht="15.75" customHeight="1">
      <c r="A101" s="61"/>
      <c r="B101" s="65"/>
      <c r="C101" s="61"/>
      <c r="D101" s="61"/>
      <c r="E101" s="61"/>
      <c r="F101" s="61"/>
      <c r="G101" s="61"/>
      <c r="H101" s="61"/>
      <c r="I101" s="66"/>
      <c r="J101" s="66"/>
    </row>
    <row r="102" ht="15.75" customHeight="1">
      <c r="A102" s="61"/>
      <c r="B102" s="65"/>
      <c r="C102" s="61"/>
      <c r="D102" s="61"/>
      <c r="E102" s="61"/>
      <c r="F102" s="61"/>
      <c r="G102" s="61"/>
      <c r="H102" s="61"/>
      <c r="I102" s="66"/>
      <c r="J102" s="66"/>
    </row>
    <row r="103" ht="15.75" customHeight="1">
      <c r="A103" s="61"/>
      <c r="B103" s="65"/>
      <c r="C103" s="61"/>
      <c r="D103" s="61"/>
      <c r="E103" s="61"/>
      <c r="F103" s="61"/>
      <c r="G103" s="61"/>
      <c r="H103" s="61"/>
      <c r="I103" s="66"/>
      <c r="J103" s="66"/>
    </row>
    <row r="104" ht="15.75" customHeight="1">
      <c r="A104" s="61"/>
      <c r="B104" s="65"/>
      <c r="C104" s="61"/>
      <c r="D104" s="61"/>
      <c r="E104" s="61"/>
      <c r="F104" s="61"/>
      <c r="G104" s="61"/>
      <c r="H104" s="61"/>
      <c r="I104" s="66"/>
      <c r="J104" s="66"/>
    </row>
    <row r="105" ht="15.75" customHeight="1">
      <c r="A105" s="61"/>
      <c r="B105" s="65"/>
      <c r="C105" s="61"/>
      <c r="D105" s="61"/>
      <c r="E105" s="61"/>
      <c r="F105" s="61"/>
      <c r="G105" s="61"/>
      <c r="H105" s="61"/>
      <c r="I105" s="66"/>
      <c r="J105" s="66"/>
    </row>
    <row r="106" ht="15.75" customHeight="1">
      <c r="A106" s="61"/>
      <c r="B106" s="65"/>
      <c r="C106" s="61"/>
      <c r="D106" s="61"/>
      <c r="E106" s="61"/>
      <c r="F106" s="61"/>
      <c r="G106" s="61"/>
      <c r="H106" s="61"/>
      <c r="I106" s="66"/>
      <c r="J106" s="66"/>
    </row>
    <row r="107" ht="15.75" customHeight="1">
      <c r="A107" s="61"/>
      <c r="B107" s="65"/>
      <c r="C107" s="61"/>
      <c r="D107" s="61"/>
      <c r="E107" s="61"/>
      <c r="F107" s="61"/>
      <c r="G107" s="61"/>
      <c r="H107" s="61"/>
      <c r="I107" s="66"/>
      <c r="J107" s="66"/>
    </row>
    <row r="108" ht="15.75" customHeight="1">
      <c r="A108" s="61"/>
      <c r="B108" s="65"/>
      <c r="C108" s="61"/>
      <c r="D108" s="61"/>
      <c r="E108" s="61"/>
      <c r="F108" s="61"/>
      <c r="G108" s="61"/>
      <c r="H108" s="61"/>
      <c r="I108" s="66"/>
      <c r="J108" s="66"/>
    </row>
    <row r="109" ht="15.75" customHeight="1">
      <c r="A109" s="61"/>
      <c r="B109" s="65"/>
      <c r="C109" s="61"/>
      <c r="D109" s="61"/>
      <c r="E109" s="61"/>
      <c r="F109" s="61"/>
      <c r="G109" s="61"/>
      <c r="H109" s="61"/>
      <c r="I109" s="66"/>
      <c r="J109" s="66"/>
    </row>
    <row r="110" ht="15.75" customHeight="1">
      <c r="A110" s="61"/>
      <c r="B110" s="65"/>
      <c r="C110" s="61"/>
      <c r="D110" s="61"/>
      <c r="E110" s="61"/>
      <c r="F110" s="61"/>
      <c r="G110" s="61"/>
      <c r="H110" s="61"/>
      <c r="I110" s="66"/>
      <c r="J110" s="66"/>
    </row>
    <row r="111" ht="15.75" customHeight="1">
      <c r="A111" s="61"/>
      <c r="B111" s="65"/>
      <c r="C111" s="61"/>
      <c r="D111" s="61"/>
      <c r="E111" s="61"/>
      <c r="F111" s="61"/>
      <c r="G111" s="61"/>
      <c r="H111" s="61"/>
      <c r="I111" s="66"/>
      <c r="J111" s="66"/>
    </row>
    <row r="112" ht="15.75" customHeight="1">
      <c r="A112" s="61"/>
      <c r="B112" s="65"/>
      <c r="C112" s="61"/>
      <c r="D112" s="61"/>
      <c r="E112" s="61"/>
      <c r="F112" s="61"/>
      <c r="G112" s="61"/>
      <c r="H112" s="61"/>
      <c r="I112" s="66"/>
      <c r="J112" s="66"/>
    </row>
    <row r="113" ht="15.75" customHeight="1">
      <c r="A113" s="61"/>
      <c r="B113" s="65"/>
      <c r="C113" s="61"/>
      <c r="D113" s="61"/>
      <c r="E113" s="61"/>
      <c r="F113" s="61"/>
      <c r="G113" s="61"/>
      <c r="H113" s="61"/>
      <c r="I113" s="66"/>
      <c r="J113" s="66"/>
    </row>
    <row r="114" ht="15.75" customHeight="1">
      <c r="A114" s="61"/>
      <c r="B114" s="65"/>
      <c r="C114" s="61"/>
      <c r="D114" s="61"/>
      <c r="E114" s="61"/>
      <c r="F114" s="61"/>
      <c r="G114" s="61"/>
      <c r="H114" s="61"/>
      <c r="I114" s="66"/>
      <c r="J114" s="66"/>
    </row>
    <row r="115" ht="15.75" customHeight="1">
      <c r="A115" s="61"/>
      <c r="B115" s="65"/>
      <c r="C115" s="61"/>
      <c r="D115" s="61"/>
      <c r="E115" s="61"/>
      <c r="F115" s="61"/>
      <c r="G115" s="61"/>
      <c r="H115" s="61"/>
      <c r="I115" s="66"/>
      <c r="J115" s="66"/>
    </row>
    <row r="116" ht="15.75" customHeight="1">
      <c r="A116" s="61"/>
      <c r="B116" s="65"/>
      <c r="C116" s="61"/>
      <c r="D116" s="61"/>
      <c r="E116" s="61"/>
      <c r="F116" s="61"/>
      <c r="G116" s="61"/>
      <c r="H116" s="61"/>
      <c r="I116" s="66"/>
      <c r="J116" s="66"/>
    </row>
    <row r="117" ht="15.75" customHeight="1">
      <c r="A117" s="61"/>
      <c r="B117" s="65"/>
      <c r="C117" s="61"/>
      <c r="D117" s="61"/>
      <c r="E117" s="61"/>
      <c r="F117" s="61"/>
      <c r="G117" s="61"/>
      <c r="H117" s="61"/>
      <c r="I117" s="66"/>
      <c r="J117" s="66"/>
    </row>
    <row r="118" ht="15.75" customHeight="1">
      <c r="A118" s="61"/>
      <c r="B118" s="65"/>
      <c r="C118" s="61"/>
      <c r="D118" s="61"/>
      <c r="E118" s="61"/>
      <c r="F118" s="61"/>
      <c r="G118" s="61"/>
      <c r="H118" s="61"/>
      <c r="I118" s="66"/>
      <c r="J118" s="66"/>
    </row>
    <row r="119" ht="15.75" customHeight="1">
      <c r="A119" s="61"/>
      <c r="B119" s="65"/>
      <c r="C119" s="61"/>
      <c r="D119" s="61"/>
      <c r="E119" s="61"/>
      <c r="F119" s="61"/>
      <c r="G119" s="61"/>
      <c r="H119" s="61"/>
      <c r="I119" s="66"/>
      <c r="J119" s="66"/>
    </row>
    <row r="120" ht="15.75" customHeight="1">
      <c r="A120" s="61"/>
      <c r="B120" s="65"/>
      <c r="C120" s="61"/>
      <c r="D120" s="61"/>
      <c r="E120" s="61"/>
      <c r="F120" s="61"/>
      <c r="G120" s="61"/>
      <c r="H120" s="61"/>
      <c r="I120" s="66"/>
      <c r="J120" s="66"/>
    </row>
    <row r="121" ht="15.75" customHeight="1">
      <c r="A121" s="61"/>
      <c r="B121" s="65"/>
      <c r="C121" s="61"/>
      <c r="D121" s="61"/>
      <c r="E121" s="61"/>
      <c r="F121" s="61"/>
      <c r="G121" s="61"/>
      <c r="H121" s="61"/>
      <c r="I121" s="66"/>
      <c r="J121" s="66"/>
    </row>
    <row r="122" ht="15.75" customHeight="1">
      <c r="A122" s="61"/>
      <c r="B122" s="65"/>
      <c r="C122" s="61"/>
      <c r="D122" s="61"/>
      <c r="E122" s="61"/>
      <c r="F122" s="61"/>
      <c r="G122" s="61"/>
      <c r="H122" s="61"/>
      <c r="I122" s="66"/>
      <c r="J122" s="66"/>
    </row>
    <row r="123" ht="15.75" customHeight="1">
      <c r="A123" s="61"/>
      <c r="B123" s="65"/>
      <c r="C123" s="61"/>
      <c r="D123" s="61"/>
      <c r="E123" s="61"/>
      <c r="F123" s="61"/>
      <c r="G123" s="61"/>
      <c r="H123" s="61"/>
      <c r="I123" s="66"/>
      <c r="J123" s="66"/>
    </row>
    <row r="124" ht="15.75" customHeight="1">
      <c r="A124" s="61"/>
      <c r="B124" s="65"/>
      <c r="C124" s="61"/>
      <c r="D124" s="61"/>
      <c r="E124" s="61"/>
      <c r="F124" s="61"/>
      <c r="G124" s="61"/>
      <c r="H124" s="61"/>
      <c r="I124" s="66"/>
      <c r="J124" s="66"/>
    </row>
    <row r="125" ht="15.75" customHeight="1">
      <c r="A125" s="61"/>
      <c r="B125" s="65"/>
      <c r="C125" s="61"/>
      <c r="D125" s="61"/>
      <c r="E125" s="61"/>
      <c r="F125" s="61"/>
      <c r="G125" s="61"/>
      <c r="H125" s="61"/>
      <c r="I125" s="66"/>
      <c r="J125" s="66"/>
    </row>
    <row r="126" ht="15.75" customHeight="1">
      <c r="A126" s="61"/>
      <c r="B126" s="65"/>
      <c r="C126" s="61"/>
      <c r="D126" s="61"/>
      <c r="E126" s="61"/>
      <c r="F126" s="61"/>
      <c r="G126" s="61"/>
      <c r="H126" s="61"/>
      <c r="I126" s="66"/>
      <c r="J126" s="66"/>
    </row>
    <row r="127" ht="15.75" customHeight="1">
      <c r="A127" s="61"/>
      <c r="B127" s="65"/>
      <c r="C127" s="61"/>
      <c r="D127" s="61"/>
      <c r="E127" s="61"/>
      <c r="F127" s="61"/>
      <c r="G127" s="61"/>
      <c r="H127" s="61"/>
      <c r="I127" s="66"/>
      <c r="J127" s="66"/>
    </row>
    <row r="128" ht="15.75" customHeight="1">
      <c r="A128" s="61"/>
      <c r="B128" s="65"/>
      <c r="C128" s="61"/>
      <c r="D128" s="61"/>
      <c r="E128" s="61"/>
      <c r="F128" s="61"/>
      <c r="G128" s="61"/>
      <c r="H128" s="61"/>
      <c r="I128" s="66"/>
      <c r="J128" s="66"/>
    </row>
    <row r="129" ht="15.75" customHeight="1">
      <c r="A129" s="61"/>
      <c r="B129" s="65"/>
      <c r="C129" s="61"/>
      <c r="D129" s="61"/>
      <c r="E129" s="61"/>
      <c r="F129" s="61"/>
      <c r="G129" s="61"/>
      <c r="H129" s="61"/>
      <c r="I129" s="66"/>
      <c r="J129" s="66"/>
    </row>
    <row r="130" ht="15.75" customHeight="1">
      <c r="A130" s="61"/>
      <c r="B130" s="65"/>
      <c r="C130" s="61"/>
      <c r="D130" s="61"/>
      <c r="E130" s="61"/>
      <c r="F130" s="61"/>
      <c r="G130" s="61"/>
      <c r="H130" s="61"/>
      <c r="I130" s="66"/>
      <c r="J130" s="66"/>
    </row>
    <row r="131" ht="15.75" customHeight="1">
      <c r="A131" s="61"/>
      <c r="B131" s="65"/>
      <c r="C131" s="61"/>
      <c r="D131" s="61"/>
      <c r="E131" s="61"/>
      <c r="F131" s="61"/>
      <c r="G131" s="61"/>
      <c r="H131" s="61"/>
      <c r="I131" s="66"/>
      <c r="J131" s="66"/>
    </row>
    <row r="132" ht="15.75" customHeight="1">
      <c r="A132" s="61"/>
      <c r="B132" s="65"/>
      <c r="C132" s="61"/>
      <c r="D132" s="61"/>
      <c r="E132" s="61"/>
      <c r="F132" s="61"/>
      <c r="G132" s="61"/>
      <c r="H132" s="61"/>
      <c r="I132" s="66"/>
      <c r="J132" s="66"/>
    </row>
    <row r="133" ht="15.75" customHeight="1">
      <c r="A133" s="61"/>
      <c r="B133" s="65"/>
      <c r="C133" s="61"/>
      <c r="D133" s="61"/>
      <c r="E133" s="61"/>
      <c r="F133" s="61"/>
      <c r="G133" s="61"/>
      <c r="H133" s="61"/>
      <c r="I133" s="66"/>
      <c r="J133" s="66"/>
    </row>
    <row r="134" ht="15.75" customHeight="1">
      <c r="A134" s="61"/>
      <c r="B134" s="65"/>
      <c r="C134" s="61"/>
      <c r="D134" s="61"/>
      <c r="E134" s="61"/>
      <c r="F134" s="61"/>
      <c r="G134" s="61"/>
      <c r="H134" s="61"/>
      <c r="I134" s="66"/>
      <c r="J134" s="66"/>
    </row>
    <row r="135" ht="15.75" customHeight="1">
      <c r="A135" s="61"/>
      <c r="B135" s="65"/>
      <c r="C135" s="61"/>
      <c r="D135" s="61"/>
      <c r="E135" s="61"/>
      <c r="F135" s="61"/>
      <c r="G135" s="61"/>
      <c r="H135" s="61"/>
      <c r="I135" s="66"/>
      <c r="J135" s="66"/>
    </row>
    <row r="136" ht="15.75" customHeight="1">
      <c r="A136" s="61"/>
      <c r="B136" s="65"/>
      <c r="C136" s="61"/>
      <c r="D136" s="61"/>
      <c r="E136" s="61"/>
      <c r="F136" s="61"/>
      <c r="G136" s="61"/>
      <c r="H136" s="61"/>
      <c r="I136" s="66"/>
      <c r="J136" s="66"/>
    </row>
    <row r="137" ht="15.75" customHeight="1">
      <c r="A137" s="61"/>
      <c r="B137" s="65"/>
      <c r="C137" s="61"/>
      <c r="D137" s="61"/>
      <c r="E137" s="61"/>
      <c r="F137" s="61"/>
      <c r="G137" s="61"/>
      <c r="H137" s="61"/>
      <c r="I137" s="66"/>
      <c r="J137" s="66"/>
    </row>
    <row r="138" ht="15.75" customHeight="1">
      <c r="A138" s="61"/>
      <c r="B138" s="65"/>
      <c r="C138" s="61"/>
      <c r="D138" s="61"/>
      <c r="E138" s="61"/>
      <c r="F138" s="61"/>
      <c r="G138" s="61"/>
      <c r="H138" s="61"/>
      <c r="I138" s="66"/>
      <c r="J138" s="66"/>
    </row>
    <row r="139" ht="15.75" customHeight="1">
      <c r="A139" s="61"/>
      <c r="B139" s="65"/>
      <c r="C139" s="61"/>
      <c r="D139" s="61"/>
      <c r="E139" s="61"/>
      <c r="F139" s="61"/>
      <c r="G139" s="61"/>
      <c r="H139" s="61"/>
      <c r="I139" s="66"/>
      <c r="J139" s="66"/>
    </row>
    <row r="140" ht="15.75" customHeight="1">
      <c r="A140" s="61"/>
      <c r="B140" s="65"/>
      <c r="C140" s="61"/>
      <c r="D140" s="61"/>
      <c r="E140" s="61"/>
      <c r="F140" s="61"/>
      <c r="G140" s="61"/>
      <c r="H140" s="61"/>
      <c r="I140" s="66"/>
      <c r="J140" s="66"/>
    </row>
    <row r="141" ht="15.75" customHeight="1">
      <c r="A141" s="61"/>
      <c r="B141" s="65"/>
      <c r="C141" s="61"/>
      <c r="D141" s="61"/>
      <c r="E141" s="61"/>
      <c r="F141" s="61"/>
      <c r="G141" s="61"/>
      <c r="H141" s="61"/>
      <c r="I141" s="66"/>
      <c r="J141" s="66"/>
    </row>
    <row r="142" ht="15.75" customHeight="1">
      <c r="A142" s="61"/>
      <c r="B142" s="65"/>
      <c r="C142" s="61"/>
      <c r="D142" s="61"/>
      <c r="E142" s="61"/>
      <c r="F142" s="61"/>
      <c r="G142" s="61"/>
      <c r="H142" s="61"/>
      <c r="I142" s="66"/>
      <c r="J142" s="66"/>
    </row>
    <row r="143" ht="15.75" customHeight="1">
      <c r="A143" s="61"/>
      <c r="B143" s="65"/>
      <c r="C143" s="61"/>
      <c r="D143" s="61"/>
      <c r="E143" s="61"/>
      <c r="F143" s="61"/>
      <c r="G143" s="61"/>
      <c r="H143" s="61"/>
      <c r="I143" s="66"/>
      <c r="J143" s="66"/>
    </row>
    <row r="144" ht="15.75" customHeight="1">
      <c r="A144" s="61"/>
      <c r="B144" s="65"/>
      <c r="C144" s="61"/>
      <c r="D144" s="61"/>
      <c r="E144" s="61"/>
      <c r="F144" s="61"/>
      <c r="G144" s="61"/>
      <c r="H144" s="61"/>
      <c r="I144" s="66"/>
      <c r="J144" s="66"/>
    </row>
    <row r="145" ht="15.75" customHeight="1">
      <c r="A145" s="61"/>
      <c r="B145" s="65"/>
      <c r="C145" s="61"/>
      <c r="D145" s="61"/>
      <c r="E145" s="61"/>
      <c r="F145" s="61"/>
      <c r="G145" s="61"/>
      <c r="H145" s="61"/>
      <c r="I145" s="66"/>
      <c r="J145" s="66"/>
    </row>
    <row r="146" ht="15.75" customHeight="1">
      <c r="A146" s="61"/>
      <c r="B146" s="65"/>
      <c r="C146" s="61"/>
      <c r="D146" s="61"/>
      <c r="E146" s="61"/>
      <c r="F146" s="61"/>
      <c r="G146" s="61"/>
      <c r="H146" s="61"/>
      <c r="I146" s="66"/>
      <c r="J146" s="66"/>
    </row>
    <row r="147" ht="15.75" customHeight="1">
      <c r="A147" s="61"/>
      <c r="B147" s="65"/>
      <c r="C147" s="61"/>
      <c r="D147" s="61"/>
      <c r="E147" s="61"/>
      <c r="F147" s="61"/>
      <c r="G147" s="61"/>
      <c r="H147" s="61"/>
      <c r="I147" s="66"/>
      <c r="J147" s="66"/>
    </row>
    <row r="148" ht="15.75" customHeight="1">
      <c r="A148" s="61"/>
      <c r="B148" s="65"/>
      <c r="C148" s="61"/>
      <c r="D148" s="61"/>
      <c r="E148" s="61"/>
      <c r="F148" s="61"/>
      <c r="G148" s="61"/>
      <c r="H148" s="61"/>
      <c r="I148" s="66"/>
      <c r="J148" s="66"/>
    </row>
    <row r="149" ht="15.75" customHeight="1">
      <c r="A149" s="61"/>
      <c r="B149" s="65"/>
      <c r="C149" s="61"/>
      <c r="D149" s="61"/>
      <c r="E149" s="61"/>
      <c r="F149" s="61"/>
      <c r="G149" s="61"/>
      <c r="H149" s="61"/>
      <c r="I149" s="66"/>
      <c r="J149" s="66"/>
    </row>
    <row r="150" ht="15.75" customHeight="1">
      <c r="A150" s="61"/>
      <c r="B150" s="65"/>
      <c r="C150" s="61"/>
      <c r="D150" s="61"/>
      <c r="E150" s="61"/>
      <c r="F150" s="61"/>
      <c r="G150" s="61"/>
      <c r="H150" s="61"/>
      <c r="I150" s="66"/>
      <c r="J150" s="66"/>
    </row>
    <row r="151" ht="15.75" customHeight="1">
      <c r="A151" s="61"/>
      <c r="B151" s="65"/>
      <c r="C151" s="61"/>
      <c r="D151" s="61"/>
      <c r="E151" s="61"/>
      <c r="F151" s="61"/>
      <c r="G151" s="61"/>
      <c r="H151" s="61"/>
      <c r="I151" s="66"/>
      <c r="J151" s="66"/>
    </row>
    <row r="152" ht="15.75" customHeight="1">
      <c r="A152" s="61"/>
      <c r="B152" s="65"/>
      <c r="C152" s="61"/>
      <c r="D152" s="61"/>
      <c r="E152" s="61"/>
      <c r="F152" s="61"/>
      <c r="G152" s="61"/>
      <c r="H152" s="61"/>
      <c r="I152" s="66"/>
      <c r="J152" s="66"/>
    </row>
    <row r="153" ht="15.75" customHeight="1">
      <c r="A153" s="61"/>
      <c r="B153" s="65"/>
      <c r="C153" s="61"/>
      <c r="D153" s="61"/>
      <c r="E153" s="61"/>
      <c r="F153" s="61"/>
      <c r="G153" s="61"/>
      <c r="H153" s="61"/>
      <c r="I153" s="66"/>
      <c r="J153" s="66"/>
    </row>
    <row r="154" ht="15.75" customHeight="1">
      <c r="A154" s="61"/>
      <c r="B154" s="65"/>
      <c r="C154" s="61"/>
      <c r="D154" s="61"/>
      <c r="E154" s="61"/>
      <c r="F154" s="61"/>
      <c r="G154" s="61"/>
      <c r="H154" s="61"/>
      <c r="I154" s="66"/>
      <c r="J154" s="66"/>
    </row>
    <row r="155" ht="15.75" customHeight="1">
      <c r="A155" s="61"/>
      <c r="B155" s="65"/>
      <c r="C155" s="61"/>
      <c r="D155" s="61"/>
      <c r="E155" s="61"/>
      <c r="F155" s="61"/>
      <c r="G155" s="61"/>
      <c r="H155" s="61"/>
      <c r="I155" s="66"/>
      <c r="J155" s="66"/>
    </row>
    <row r="156" ht="15.75" customHeight="1">
      <c r="A156" s="61"/>
      <c r="B156" s="65"/>
      <c r="C156" s="61"/>
      <c r="D156" s="61"/>
      <c r="E156" s="61"/>
      <c r="F156" s="61"/>
      <c r="G156" s="61"/>
      <c r="H156" s="61"/>
      <c r="I156" s="66"/>
      <c r="J156" s="66"/>
    </row>
    <row r="157" ht="15.75" customHeight="1">
      <c r="A157" s="61"/>
      <c r="B157" s="65"/>
      <c r="C157" s="61"/>
      <c r="D157" s="61"/>
      <c r="E157" s="61"/>
      <c r="F157" s="61"/>
      <c r="G157" s="61"/>
      <c r="H157" s="61"/>
      <c r="I157" s="66"/>
      <c r="J157" s="66"/>
    </row>
    <row r="158" ht="15.75" customHeight="1">
      <c r="A158" s="61"/>
      <c r="B158" s="65"/>
      <c r="C158" s="61"/>
      <c r="D158" s="61"/>
      <c r="E158" s="61"/>
      <c r="F158" s="61"/>
      <c r="G158" s="61"/>
      <c r="H158" s="61"/>
      <c r="I158" s="66"/>
      <c r="J158" s="66"/>
    </row>
    <row r="159" ht="15.75" customHeight="1">
      <c r="A159" s="61"/>
      <c r="B159" s="65"/>
      <c r="C159" s="61"/>
      <c r="D159" s="61"/>
      <c r="E159" s="61"/>
      <c r="F159" s="61"/>
      <c r="G159" s="61"/>
      <c r="H159" s="61"/>
      <c r="I159" s="66"/>
      <c r="J159" s="66"/>
    </row>
    <row r="160" ht="15.75" customHeight="1">
      <c r="A160" s="61"/>
      <c r="B160" s="65"/>
      <c r="C160" s="61"/>
      <c r="D160" s="61"/>
      <c r="E160" s="61"/>
      <c r="F160" s="61"/>
      <c r="G160" s="61"/>
      <c r="H160" s="61"/>
      <c r="I160" s="66"/>
      <c r="J160" s="66"/>
    </row>
    <row r="161" ht="15.75" customHeight="1">
      <c r="A161" s="61"/>
      <c r="B161" s="65"/>
      <c r="C161" s="61"/>
      <c r="D161" s="61"/>
      <c r="E161" s="61"/>
      <c r="F161" s="61"/>
      <c r="G161" s="61"/>
      <c r="H161" s="61"/>
      <c r="I161" s="66"/>
      <c r="J161" s="66"/>
    </row>
    <row r="162" ht="15.75" customHeight="1">
      <c r="A162" s="61"/>
      <c r="B162" s="65"/>
      <c r="C162" s="61"/>
      <c r="D162" s="61"/>
      <c r="E162" s="61"/>
      <c r="F162" s="61"/>
      <c r="G162" s="61"/>
      <c r="H162" s="61"/>
      <c r="I162" s="66"/>
      <c r="J162" s="66"/>
    </row>
    <row r="163" ht="15.75" customHeight="1">
      <c r="A163" s="61"/>
      <c r="B163" s="65"/>
      <c r="C163" s="61"/>
      <c r="D163" s="61"/>
      <c r="E163" s="61"/>
      <c r="F163" s="61"/>
      <c r="G163" s="61"/>
      <c r="H163" s="61"/>
      <c r="I163" s="66"/>
      <c r="J163" s="66"/>
    </row>
    <row r="164" ht="15.75" customHeight="1">
      <c r="A164" s="61"/>
      <c r="B164" s="65"/>
      <c r="C164" s="61"/>
      <c r="D164" s="61"/>
      <c r="E164" s="61"/>
      <c r="F164" s="61"/>
      <c r="G164" s="61"/>
      <c r="H164" s="61"/>
      <c r="I164" s="66"/>
      <c r="J164" s="66"/>
    </row>
    <row r="165" ht="15.75" customHeight="1">
      <c r="A165" s="61"/>
      <c r="B165" s="65"/>
      <c r="C165" s="61"/>
      <c r="D165" s="61"/>
      <c r="E165" s="61"/>
      <c r="F165" s="61"/>
      <c r="G165" s="61"/>
      <c r="H165" s="61"/>
      <c r="I165" s="66"/>
      <c r="J165" s="66"/>
    </row>
    <row r="166" ht="15.75" customHeight="1">
      <c r="A166" s="61"/>
      <c r="B166" s="65"/>
      <c r="C166" s="61"/>
      <c r="D166" s="61"/>
      <c r="E166" s="61"/>
      <c r="F166" s="61"/>
      <c r="G166" s="61"/>
      <c r="H166" s="61"/>
      <c r="I166" s="66"/>
      <c r="J166" s="66"/>
    </row>
    <row r="167" ht="15.75" customHeight="1">
      <c r="A167" s="61"/>
      <c r="B167" s="65"/>
      <c r="C167" s="61"/>
      <c r="D167" s="61"/>
      <c r="E167" s="61"/>
      <c r="F167" s="61"/>
      <c r="G167" s="61"/>
      <c r="H167" s="61"/>
      <c r="I167" s="66"/>
      <c r="J167" s="66"/>
    </row>
    <row r="168" ht="15.75" customHeight="1">
      <c r="A168" s="61"/>
      <c r="B168" s="65"/>
      <c r="C168" s="61"/>
      <c r="D168" s="61"/>
      <c r="E168" s="61"/>
      <c r="F168" s="61"/>
      <c r="G168" s="61"/>
      <c r="H168" s="61"/>
      <c r="I168" s="66"/>
      <c r="J168" s="66"/>
    </row>
    <row r="169" ht="15.75" customHeight="1">
      <c r="A169" s="61"/>
      <c r="B169" s="65"/>
      <c r="C169" s="61"/>
      <c r="D169" s="61"/>
      <c r="E169" s="61"/>
      <c r="F169" s="61"/>
      <c r="G169" s="61"/>
      <c r="H169" s="61"/>
      <c r="I169" s="66"/>
      <c r="J169" s="66"/>
    </row>
    <row r="170" ht="15.75" customHeight="1">
      <c r="A170" s="61"/>
      <c r="B170" s="65"/>
      <c r="C170" s="61"/>
      <c r="D170" s="61"/>
      <c r="E170" s="61"/>
      <c r="F170" s="61"/>
      <c r="G170" s="61"/>
      <c r="H170" s="61"/>
      <c r="I170" s="66"/>
      <c r="J170" s="66"/>
    </row>
    <row r="171" ht="15.75" customHeight="1">
      <c r="A171" s="61"/>
      <c r="B171" s="65"/>
      <c r="C171" s="61"/>
      <c r="D171" s="61"/>
      <c r="E171" s="61"/>
      <c r="F171" s="61"/>
      <c r="G171" s="61"/>
      <c r="H171" s="61"/>
      <c r="I171" s="66"/>
      <c r="J171" s="66"/>
    </row>
    <row r="172" ht="15.75" customHeight="1">
      <c r="A172" s="61"/>
      <c r="B172" s="65"/>
      <c r="C172" s="61"/>
      <c r="D172" s="61"/>
      <c r="E172" s="61"/>
      <c r="F172" s="61"/>
      <c r="G172" s="61"/>
      <c r="H172" s="61"/>
      <c r="I172" s="66"/>
      <c r="J172" s="66"/>
    </row>
    <row r="173" ht="15.75" customHeight="1">
      <c r="A173" s="61"/>
      <c r="B173" s="65"/>
      <c r="C173" s="61"/>
      <c r="D173" s="61"/>
      <c r="E173" s="61"/>
      <c r="F173" s="61"/>
      <c r="G173" s="61"/>
      <c r="H173" s="61"/>
      <c r="I173" s="66"/>
      <c r="J173" s="66"/>
    </row>
    <row r="174" ht="15.75" customHeight="1">
      <c r="A174" s="61"/>
      <c r="B174" s="65"/>
      <c r="C174" s="61"/>
      <c r="D174" s="61"/>
      <c r="E174" s="61"/>
      <c r="F174" s="61"/>
      <c r="G174" s="61"/>
      <c r="H174" s="61"/>
      <c r="I174" s="66"/>
      <c r="J174" s="66"/>
    </row>
    <row r="175" ht="15.75" customHeight="1">
      <c r="A175" s="61"/>
      <c r="B175" s="65"/>
      <c r="C175" s="61"/>
      <c r="D175" s="61"/>
      <c r="E175" s="61"/>
      <c r="F175" s="61"/>
      <c r="G175" s="61"/>
      <c r="H175" s="61"/>
      <c r="I175" s="66"/>
      <c r="J175" s="66"/>
    </row>
    <row r="176" ht="15.75" customHeight="1">
      <c r="A176" s="61"/>
      <c r="B176" s="65"/>
      <c r="C176" s="61"/>
      <c r="D176" s="61"/>
      <c r="E176" s="61"/>
      <c r="F176" s="61"/>
      <c r="G176" s="61"/>
      <c r="H176" s="61"/>
      <c r="I176" s="66"/>
      <c r="J176" s="66"/>
    </row>
    <row r="177" ht="15.75" customHeight="1">
      <c r="A177" s="61"/>
      <c r="B177" s="65"/>
      <c r="C177" s="61"/>
      <c r="D177" s="61"/>
      <c r="E177" s="61"/>
      <c r="F177" s="61"/>
      <c r="G177" s="61"/>
      <c r="H177" s="61"/>
      <c r="I177" s="66"/>
      <c r="J177" s="66"/>
    </row>
    <row r="178" ht="15.75" customHeight="1">
      <c r="A178" s="61"/>
      <c r="B178" s="65"/>
      <c r="C178" s="61"/>
      <c r="D178" s="61"/>
      <c r="E178" s="61"/>
      <c r="F178" s="61"/>
      <c r="G178" s="61"/>
      <c r="H178" s="61"/>
      <c r="I178" s="66"/>
      <c r="J178" s="66"/>
    </row>
    <row r="179" ht="15.75" customHeight="1">
      <c r="A179" s="61"/>
      <c r="B179" s="65"/>
      <c r="C179" s="61"/>
      <c r="D179" s="61"/>
      <c r="E179" s="61"/>
      <c r="F179" s="61"/>
      <c r="G179" s="61"/>
      <c r="H179" s="61"/>
      <c r="I179" s="66"/>
      <c r="J179" s="66"/>
    </row>
    <row r="180" ht="15.75" customHeight="1">
      <c r="A180" s="61"/>
      <c r="B180" s="65"/>
      <c r="C180" s="61"/>
      <c r="D180" s="61"/>
      <c r="E180" s="61"/>
      <c r="F180" s="61"/>
      <c r="G180" s="61"/>
      <c r="H180" s="61"/>
      <c r="I180" s="66"/>
      <c r="J180" s="66"/>
    </row>
    <row r="181" ht="15.75" customHeight="1">
      <c r="A181" s="61"/>
      <c r="B181" s="65"/>
      <c r="C181" s="61"/>
      <c r="D181" s="61"/>
      <c r="E181" s="61"/>
      <c r="F181" s="61"/>
      <c r="G181" s="61"/>
      <c r="H181" s="61"/>
      <c r="I181" s="66"/>
      <c r="J181" s="66"/>
    </row>
    <row r="182" ht="15.75" customHeight="1">
      <c r="A182" s="61"/>
      <c r="B182" s="65"/>
      <c r="C182" s="61"/>
      <c r="D182" s="61"/>
      <c r="E182" s="61"/>
      <c r="F182" s="61"/>
      <c r="G182" s="61"/>
      <c r="H182" s="61"/>
      <c r="I182" s="66"/>
      <c r="J182" s="66"/>
    </row>
    <row r="183" ht="15.75" customHeight="1">
      <c r="A183" s="61"/>
      <c r="B183" s="65"/>
      <c r="C183" s="61"/>
      <c r="D183" s="61"/>
      <c r="E183" s="61"/>
      <c r="F183" s="61"/>
      <c r="G183" s="61"/>
      <c r="H183" s="61"/>
      <c r="I183" s="66"/>
      <c r="J183" s="66"/>
    </row>
    <row r="184" ht="15.75" customHeight="1">
      <c r="A184" s="61"/>
      <c r="B184" s="65"/>
      <c r="C184" s="61"/>
      <c r="D184" s="61"/>
      <c r="E184" s="61"/>
      <c r="F184" s="61"/>
      <c r="G184" s="61"/>
      <c r="H184" s="61"/>
      <c r="I184" s="66"/>
      <c r="J184" s="66"/>
    </row>
    <row r="185" ht="15.75" customHeight="1">
      <c r="A185" s="61"/>
      <c r="B185" s="65"/>
      <c r="C185" s="61"/>
      <c r="D185" s="61"/>
      <c r="E185" s="61"/>
      <c r="F185" s="61"/>
      <c r="G185" s="61"/>
      <c r="H185" s="61"/>
      <c r="I185" s="66"/>
      <c r="J185" s="66"/>
    </row>
    <row r="186" ht="15.75" customHeight="1">
      <c r="A186" s="61"/>
      <c r="B186" s="65"/>
      <c r="C186" s="61"/>
      <c r="D186" s="61"/>
      <c r="E186" s="61"/>
      <c r="F186" s="61"/>
      <c r="G186" s="61"/>
      <c r="H186" s="61"/>
      <c r="I186" s="66"/>
      <c r="J186" s="66"/>
    </row>
    <row r="187" ht="15.75" customHeight="1">
      <c r="A187" s="61"/>
      <c r="B187" s="65"/>
      <c r="C187" s="61"/>
      <c r="D187" s="61"/>
      <c r="E187" s="61"/>
      <c r="F187" s="61"/>
      <c r="G187" s="61"/>
      <c r="H187" s="61"/>
      <c r="I187" s="66"/>
      <c r="J187" s="66"/>
    </row>
    <row r="188" ht="15.75" customHeight="1">
      <c r="A188" s="61"/>
      <c r="B188" s="65"/>
      <c r="C188" s="61"/>
      <c r="D188" s="61"/>
      <c r="E188" s="61"/>
      <c r="F188" s="61"/>
      <c r="G188" s="61"/>
      <c r="H188" s="61"/>
      <c r="I188" s="66"/>
      <c r="J188" s="66"/>
    </row>
    <row r="189" ht="15.75" customHeight="1">
      <c r="A189" s="61"/>
      <c r="B189" s="65"/>
      <c r="C189" s="61"/>
      <c r="D189" s="61"/>
      <c r="E189" s="61"/>
      <c r="F189" s="61"/>
      <c r="G189" s="61"/>
      <c r="H189" s="61"/>
      <c r="I189" s="66"/>
      <c r="J189" s="66"/>
    </row>
    <row r="190" ht="15.75" customHeight="1">
      <c r="A190" s="61"/>
      <c r="B190" s="65"/>
      <c r="C190" s="61"/>
      <c r="D190" s="61"/>
      <c r="E190" s="61"/>
      <c r="F190" s="61"/>
      <c r="G190" s="61"/>
      <c r="H190" s="61"/>
      <c r="I190" s="66"/>
      <c r="J190" s="66"/>
    </row>
    <row r="191" ht="15.75" customHeight="1">
      <c r="A191" s="61"/>
      <c r="B191" s="65"/>
      <c r="C191" s="61"/>
      <c r="D191" s="61"/>
      <c r="E191" s="61"/>
      <c r="F191" s="61"/>
      <c r="G191" s="61"/>
      <c r="H191" s="61"/>
      <c r="I191" s="66"/>
      <c r="J191" s="66"/>
    </row>
    <row r="192" ht="15.75" customHeight="1">
      <c r="A192" s="61"/>
      <c r="B192" s="65"/>
      <c r="C192" s="61"/>
      <c r="D192" s="61"/>
      <c r="E192" s="61"/>
      <c r="F192" s="61"/>
      <c r="G192" s="61"/>
      <c r="H192" s="61"/>
      <c r="I192" s="66"/>
      <c r="J192" s="66"/>
    </row>
    <row r="193" ht="15.75" customHeight="1">
      <c r="A193" s="61"/>
      <c r="B193" s="65"/>
      <c r="C193" s="61"/>
      <c r="D193" s="61"/>
      <c r="E193" s="61"/>
      <c r="F193" s="61"/>
      <c r="G193" s="61"/>
      <c r="H193" s="61"/>
      <c r="I193" s="66"/>
      <c r="J193" s="66"/>
    </row>
    <row r="194" ht="15.75" customHeight="1">
      <c r="A194" s="61"/>
      <c r="B194" s="65"/>
      <c r="C194" s="61"/>
      <c r="D194" s="61"/>
      <c r="E194" s="61"/>
      <c r="F194" s="61"/>
      <c r="G194" s="61"/>
      <c r="H194" s="61"/>
      <c r="I194" s="66"/>
      <c r="J194" s="66"/>
    </row>
    <row r="195" ht="15.75" customHeight="1">
      <c r="A195" s="61"/>
      <c r="B195" s="65"/>
      <c r="C195" s="61"/>
      <c r="D195" s="61"/>
      <c r="E195" s="61"/>
      <c r="F195" s="61"/>
      <c r="G195" s="61"/>
      <c r="H195" s="61"/>
      <c r="I195" s="66"/>
      <c r="J195" s="66"/>
    </row>
    <row r="196" ht="15.75" customHeight="1">
      <c r="A196" s="61"/>
      <c r="B196" s="65"/>
      <c r="C196" s="61"/>
      <c r="D196" s="61"/>
      <c r="E196" s="61"/>
      <c r="F196" s="61"/>
      <c r="G196" s="61"/>
      <c r="H196" s="61"/>
      <c r="I196" s="66"/>
      <c r="J196" s="66"/>
    </row>
    <row r="197" ht="15.75" customHeight="1">
      <c r="A197" s="61"/>
      <c r="B197" s="65"/>
      <c r="C197" s="61"/>
      <c r="D197" s="61"/>
      <c r="E197" s="61"/>
      <c r="F197" s="61"/>
      <c r="G197" s="61"/>
      <c r="H197" s="61"/>
      <c r="I197" s="66"/>
      <c r="J197" s="66"/>
    </row>
    <row r="198" ht="15.75" customHeight="1">
      <c r="A198" s="61"/>
      <c r="B198" s="65"/>
      <c r="C198" s="61"/>
      <c r="D198" s="61"/>
      <c r="E198" s="61"/>
      <c r="F198" s="61"/>
      <c r="G198" s="61"/>
      <c r="H198" s="61"/>
      <c r="I198" s="66"/>
      <c r="J198" s="66"/>
    </row>
    <row r="199" ht="15.75" customHeight="1">
      <c r="A199" s="61"/>
      <c r="B199" s="65"/>
      <c r="C199" s="61"/>
      <c r="D199" s="61"/>
      <c r="E199" s="61"/>
      <c r="F199" s="61"/>
      <c r="G199" s="61"/>
      <c r="H199" s="61"/>
      <c r="I199" s="66"/>
      <c r="J199" s="66"/>
    </row>
    <row r="200" ht="15.75" customHeight="1">
      <c r="A200" s="61"/>
      <c r="B200" s="65"/>
      <c r="C200" s="61"/>
      <c r="D200" s="61"/>
      <c r="E200" s="61"/>
      <c r="F200" s="61"/>
      <c r="G200" s="61"/>
      <c r="H200" s="61"/>
      <c r="I200" s="66"/>
      <c r="J200" s="66"/>
    </row>
    <row r="201" ht="15.75" customHeight="1">
      <c r="A201" s="61"/>
      <c r="B201" s="65"/>
      <c r="C201" s="61"/>
      <c r="D201" s="61"/>
      <c r="E201" s="61"/>
      <c r="F201" s="61"/>
      <c r="G201" s="61"/>
      <c r="H201" s="61"/>
      <c r="I201" s="66"/>
      <c r="J201" s="66"/>
    </row>
    <row r="202" ht="15.75" customHeight="1">
      <c r="A202" s="61"/>
      <c r="B202" s="65"/>
      <c r="C202" s="61"/>
      <c r="D202" s="61"/>
      <c r="E202" s="61"/>
      <c r="F202" s="61"/>
      <c r="G202" s="61"/>
      <c r="H202" s="61"/>
      <c r="I202" s="66"/>
      <c r="J202" s="66"/>
    </row>
    <row r="203" ht="15.75" customHeight="1">
      <c r="A203" s="61"/>
      <c r="B203" s="65"/>
      <c r="C203" s="61"/>
      <c r="D203" s="61"/>
      <c r="E203" s="61"/>
      <c r="F203" s="61"/>
      <c r="G203" s="61"/>
      <c r="H203" s="61"/>
      <c r="I203" s="66"/>
      <c r="J203" s="66"/>
    </row>
    <row r="204" ht="15.75" customHeight="1">
      <c r="A204" s="61"/>
      <c r="B204" s="65"/>
      <c r="C204" s="61"/>
      <c r="D204" s="61"/>
      <c r="E204" s="61"/>
      <c r="F204" s="61"/>
      <c r="G204" s="61"/>
      <c r="H204" s="61"/>
      <c r="I204" s="66"/>
      <c r="J204" s="66"/>
    </row>
    <row r="205" ht="15.75" customHeight="1">
      <c r="A205" s="61"/>
      <c r="B205" s="65"/>
      <c r="C205" s="61"/>
      <c r="D205" s="61"/>
      <c r="E205" s="61"/>
      <c r="F205" s="61"/>
      <c r="G205" s="61"/>
      <c r="H205" s="61"/>
      <c r="I205" s="66"/>
      <c r="J205" s="66"/>
    </row>
    <row r="206" ht="15.75" customHeight="1">
      <c r="A206" s="61"/>
      <c r="B206" s="65"/>
      <c r="C206" s="61"/>
      <c r="D206" s="61"/>
      <c r="E206" s="61"/>
      <c r="F206" s="61"/>
      <c r="G206" s="61"/>
      <c r="H206" s="61"/>
      <c r="I206" s="66"/>
      <c r="J206" s="66"/>
    </row>
    <row r="207" ht="15.75" customHeight="1">
      <c r="A207" s="61"/>
      <c r="B207" s="65"/>
      <c r="C207" s="61"/>
      <c r="D207" s="61"/>
      <c r="E207" s="61"/>
      <c r="F207" s="61"/>
      <c r="G207" s="61"/>
      <c r="H207" s="61"/>
      <c r="I207" s="66"/>
      <c r="J207" s="66"/>
    </row>
    <row r="208" ht="15.75" customHeight="1">
      <c r="A208" s="61"/>
      <c r="B208" s="65"/>
      <c r="C208" s="61"/>
      <c r="D208" s="61"/>
      <c r="E208" s="61"/>
      <c r="F208" s="61"/>
      <c r="G208" s="61"/>
      <c r="H208" s="61"/>
      <c r="I208" s="66"/>
      <c r="J208" s="66"/>
    </row>
    <row r="209" ht="15.75" customHeight="1">
      <c r="A209" s="61"/>
      <c r="B209" s="65"/>
      <c r="C209" s="61"/>
      <c r="D209" s="61"/>
      <c r="E209" s="61"/>
      <c r="F209" s="61"/>
      <c r="G209" s="61"/>
      <c r="H209" s="61"/>
      <c r="I209" s="66"/>
      <c r="J209" s="66"/>
    </row>
    <row r="210" ht="15.75" customHeight="1">
      <c r="A210" s="61"/>
      <c r="B210" s="65"/>
      <c r="C210" s="61"/>
      <c r="D210" s="61"/>
      <c r="E210" s="61"/>
      <c r="F210" s="61"/>
      <c r="G210" s="61"/>
      <c r="H210" s="61"/>
      <c r="I210" s="66"/>
      <c r="J210" s="66"/>
    </row>
    <row r="211" ht="15.75" customHeight="1">
      <c r="A211" s="61"/>
      <c r="B211" s="65"/>
      <c r="C211" s="61"/>
      <c r="D211" s="61"/>
      <c r="E211" s="61"/>
      <c r="F211" s="61"/>
      <c r="G211" s="61"/>
      <c r="H211" s="61"/>
      <c r="I211" s="66"/>
      <c r="J211" s="66"/>
    </row>
    <row r="212" ht="15.75" customHeight="1">
      <c r="A212" s="61"/>
      <c r="B212" s="65"/>
      <c r="C212" s="61"/>
      <c r="D212" s="61"/>
      <c r="E212" s="61"/>
      <c r="F212" s="61"/>
      <c r="G212" s="61"/>
      <c r="H212" s="61"/>
      <c r="I212" s="66"/>
      <c r="J212" s="66"/>
    </row>
    <row r="213" ht="15.75" customHeight="1">
      <c r="A213" s="61"/>
      <c r="B213" s="65"/>
      <c r="C213" s="61"/>
      <c r="D213" s="61"/>
      <c r="E213" s="61"/>
      <c r="F213" s="61"/>
      <c r="G213" s="61"/>
      <c r="H213" s="61"/>
      <c r="I213" s="66"/>
      <c r="J213" s="66"/>
    </row>
    <row r="214" ht="15.75" customHeight="1">
      <c r="A214" s="61"/>
      <c r="B214" s="65"/>
      <c r="C214" s="61"/>
      <c r="D214" s="61"/>
      <c r="E214" s="61"/>
      <c r="F214" s="61"/>
      <c r="G214" s="61"/>
      <c r="H214" s="61"/>
      <c r="I214" s="66"/>
      <c r="J214" s="66"/>
    </row>
    <row r="215" ht="15.75" customHeight="1">
      <c r="A215" s="61"/>
      <c r="B215" s="65"/>
      <c r="C215" s="61"/>
      <c r="D215" s="61"/>
      <c r="E215" s="61"/>
      <c r="F215" s="61"/>
      <c r="G215" s="61"/>
      <c r="H215" s="61"/>
      <c r="I215" s="66"/>
      <c r="J215" s="66"/>
    </row>
    <row r="216" ht="15.75" customHeight="1">
      <c r="A216" s="61"/>
      <c r="B216" s="65"/>
      <c r="C216" s="61"/>
      <c r="D216" s="61"/>
      <c r="E216" s="61"/>
      <c r="F216" s="61"/>
      <c r="G216" s="61"/>
      <c r="H216" s="61"/>
      <c r="I216" s="66"/>
      <c r="J216" s="66"/>
    </row>
    <row r="217" ht="15.75" customHeight="1">
      <c r="A217" s="61"/>
      <c r="B217" s="65"/>
      <c r="C217" s="61"/>
      <c r="D217" s="61"/>
      <c r="E217" s="61"/>
      <c r="F217" s="61"/>
      <c r="G217" s="61"/>
      <c r="H217" s="61"/>
      <c r="I217" s="66"/>
      <c r="J217" s="66"/>
    </row>
    <row r="218" ht="15.75" customHeight="1">
      <c r="A218" s="61"/>
      <c r="B218" s="65"/>
      <c r="C218" s="61"/>
      <c r="D218" s="61"/>
      <c r="E218" s="61"/>
      <c r="F218" s="61"/>
      <c r="G218" s="61"/>
      <c r="H218" s="61"/>
      <c r="I218" s="66"/>
      <c r="J218" s="66"/>
    </row>
    <row r="219" ht="15.75" customHeight="1">
      <c r="A219" s="61"/>
      <c r="B219" s="65"/>
      <c r="C219" s="61"/>
      <c r="D219" s="61"/>
      <c r="E219" s="61"/>
      <c r="F219" s="61"/>
      <c r="G219" s="61"/>
      <c r="H219" s="61"/>
      <c r="I219" s="66"/>
      <c r="J219" s="66"/>
    </row>
    <row r="220" ht="15.75" customHeight="1">
      <c r="A220" s="61"/>
      <c r="B220" s="65"/>
      <c r="C220" s="61"/>
      <c r="D220" s="61"/>
      <c r="E220" s="61"/>
      <c r="F220" s="61"/>
      <c r="G220" s="61"/>
      <c r="H220" s="61"/>
      <c r="I220" s="66"/>
      <c r="J220" s="66"/>
    </row>
    <row r="221" ht="15.75" customHeight="1">
      <c r="F221" s="47"/>
      <c r="G221" s="47"/>
    </row>
    <row r="222" ht="15.75" customHeight="1">
      <c r="F222" s="47"/>
      <c r="G222" s="47"/>
    </row>
    <row r="223" ht="15.75" customHeight="1">
      <c r="F223" s="47"/>
      <c r="G223" s="47"/>
    </row>
    <row r="224" ht="15.75" customHeight="1">
      <c r="F224" s="47"/>
      <c r="G224" s="47"/>
    </row>
    <row r="225" ht="15.75" customHeight="1">
      <c r="F225" s="47"/>
      <c r="G225" s="47"/>
    </row>
    <row r="226" ht="15.75" customHeight="1">
      <c r="F226" s="47"/>
      <c r="G226" s="47"/>
    </row>
    <row r="227" ht="15.75" customHeight="1">
      <c r="F227" s="47"/>
      <c r="G227" s="47"/>
    </row>
    <row r="228" ht="15.75" customHeight="1">
      <c r="F228" s="47"/>
      <c r="G228" s="47"/>
    </row>
    <row r="229" ht="15.75" customHeight="1">
      <c r="F229" s="47"/>
      <c r="G229" s="47"/>
    </row>
    <row r="230" ht="15.75" customHeight="1">
      <c r="F230" s="47"/>
      <c r="G230" s="47"/>
    </row>
    <row r="231" ht="15.75" customHeight="1">
      <c r="F231" s="47"/>
      <c r="G231" s="47"/>
    </row>
    <row r="232" ht="15.75" customHeight="1">
      <c r="F232" s="47"/>
      <c r="G232" s="47"/>
    </row>
    <row r="233" ht="15.75" customHeight="1">
      <c r="F233" s="47"/>
      <c r="G233" s="47"/>
    </row>
    <row r="234" ht="15.75" customHeight="1">
      <c r="F234" s="47"/>
      <c r="G234" s="47"/>
    </row>
    <row r="235" ht="15.75" customHeight="1">
      <c r="F235" s="47"/>
      <c r="G235" s="47"/>
    </row>
    <row r="236" ht="15.75" customHeight="1">
      <c r="F236" s="47"/>
      <c r="G236" s="47"/>
    </row>
    <row r="237" ht="15.75" customHeight="1">
      <c r="F237" s="47"/>
      <c r="G237" s="47"/>
    </row>
    <row r="238" ht="15.75" customHeight="1">
      <c r="F238" s="47"/>
      <c r="G238" s="47"/>
    </row>
    <row r="239" ht="15.75" customHeight="1">
      <c r="F239" s="47"/>
      <c r="G239" s="47"/>
    </row>
    <row r="240" ht="15.75" customHeight="1">
      <c r="F240" s="47"/>
      <c r="G240" s="47"/>
    </row>
    <row r="241" ht="15.75" customHeight="1">
      <c r="F241" s="47"/>
      <c r="G241" s="47"/>
    </row>
    <row r="242" ht="15.75" customHeight="1">
      <c r="F242" s="47"/>
      <c r="G242" s="47"/>
    </row>
    <row r="243" ht="15.75" customHeight="1">
      <c r="F243" s="47"/>
      <c r="G243" s="47"/>
    </row>
    <row r="244" ht="15.75" customHeight="1">
      <c r="F244" s="47"/>
      <c r="G244" s="47"/>
    </row>
    <row r="245" ht="15.75" customHeight="1">
      <c r="F245" s="47"/>
      <c r="G245" s="47"/>
    </row>
    <row r="246" ht="15.75" customHeight="1">
      <c r="F246" s="47"/>
      <c r="G246" s="47"/>
    </row>
    <row r="247" ht="15.75" customHeight="1">
      <c r="F247" s="47"/>
      <c r="G247" s="47"/>
    </row>
    <row r="248" ht="15.75" customHeight="1">
      <c r="F248" s="47"/>
      <c r="G248" s="47"/>
    </row>
    <row r="249" ht="15.75" customHeight="1">
      <c r="F249" s="47"/>
      <c r="G249" s="47"/>
    </row>
    <row r="250" ht="15.75" customHeight="1">
      <c r="F250" s="47"/>
      <c r="G250" s="47"/>
    </row>
    <row r="251" ht="15.75" customHeight="1">
      <c r="F251" s="47"/>
      <c r="G251" s="47"/>
    </row>
    <row r="252" ht="15.75" customHeight="1">
      <c r="F252" s="47"/>
      <c r="G252" s="47"/>
    </row>
    <row r="253" ht="15.75" customHeight="1">
      <c r="F253" s="47"/>
      <c r="G253" s="47"/>
    </row>
    <row r="254" ht="15.75" customHeight="1">
      <c r="F254" s="47"/>
      <c r="G254" s="47"/>
    </row>
    <row r="255" ht="15.75" customHeight="1">
      <c r="F255" s="47"/>
      <c r="G255" s="47"/>
    </row>
    <row r="256" ht="15.75" customHeight="1">
      <c r="F256" s="47"/>
      <c r="G256" s="47"/>
    </row>
    <row r="257" ht="15.75" customHeight="1">
      <c r="F257" s="47"/>
      <c r="G257" s="47"/>
    </row>
    <row r="258" ht="15.75" customHeight="1">
      <c r="F258" s="47"/>
      <c r="G258" s="47"/>
    </row>
    <row r="259" ht="15.75" customHeight="1">
      <c r="F259" s="47"/>
      <c r="G259" s="47"/>
    </row>
    <row r="260" ht="15.75" customHeight="1">
      <c r="F260" s="47"/>
      <c r="G260" s="47"/>
    </row>
    <row r="261" ht="15.75" customHeight="1">
      <c r="F261" s="47"/>
      <c r="G261" s="47"/>
    </row>
    <row r="262" ht="15.75" customHeight="1">
      <c r="F262" s="47"/>
      <c r="G262" s="47"/>
    </row>
    <row r="263" ht="15.75" customHeight="1">
      <c r="F263" s="47"/>
      <c r="G263" s="47"/>
    </row>
    <row r="264" ht="15.75" customHeight="1">
      <c r="F264" s="47"/>
      <c r="G264" s="47"/>
    </row>
    <row r="265" ht="15.75" customHeight="1">
      <c r="F265" s="47"/>
      <c r="G265" s="47"/>
    </row>
    <row r="266" ht="15.75" customHeight="1">
      <c r="F266" s="47"/>
      <c r="G266" s="47"/>
    </row>
    <row r="267" ht="15.75" customHeight="1">
      <c r="F267" s="47"/>
      <c r="G267" s="47"/>
    </row>
    <row r="268" ht="15.75" customHeight="1">
      <c r="F268" s="47"/>
      <c r="G268" s="47"/>
    </row>
    <row r="269" ht="15.75" customHeight="1">
      <c r="F269" s="47"/>
      <c r="G269" s="47"/>
    </row>
    <row r="270" ht="15.75" customHeight="1">
      <c r="F270" s="47"/>
      <c r="G270" s="47"/>
    </row>
    <row r="271" ht="15.75" customHeight="1">
      <c r="F271" s="47"/>
      <c r="G271" s="47"/>
    </row>
    <row r="272" ht="15.75" customHeight="1">
      <c r="F272" s="47"/>
      <c r="G272" s="47"/>
    </row>
    <row r="273" ht="15.75" customHeight="1">
      <c r="F273" s="47"/>
      <c r="G273" s="47"/>
    </row>
    <row r="274" ht="15.75" customHeight="1">
      <c r="F274" s="47"/>
      <c r="G274" s="47"/>
    </row>
    <row r="275" ht="15.75" customHeight="1">
      <c r="F275" s="47"/>
      <c r="G275" s="47"/>
    </row>
    <row r="276" ht="15.75" customHeight="1">
      <c r="F276" s="47"/>
      <c r="G276" s="47"/>
    </row>
    <row r="277" ht="15.75" customHeight="1">
      <c r="F277" s="47"/>
      <c r="G277" s="47"/>
    </row>
    <row r="278" ht="15.75" customHeight="1">
      <c r="F278" s="47"/>
      <c r="G278" s="47"/>
    </row>
    <row r="279" ht="15.75" customHeight="1">
      <c r="F279" s="47"/>
      <c r="G279" s="47"/>
    </row>
    <row r="280" ht="15.75" customHeight="1">
      <c r="F280" s="47"/>
      <c r="G280" s="47"/>
    </row>
    <row r="281" ht="15.75" customHeight="1">
      <c r="F281" s="47"/>
      <c r="G281" s="47"/>
    </row>
    <row r="282" ht="15.75" customHeight="1">
      <c r="F282" s="47"/>
      <c r="G282" s="47"/>
    </row>
    <row r="283" ht="15.75" customHeight="1">
      <c r="F283" s="47"/>
      <c r="G283" s="47"/>
    </row>
    <row r="284" ht="15.75" customHeight="1">
      <c r="F284" s="47"/>
      <c r="G284" s="47"/>
    </row>
    <row r="285" ht="15.75" customHeight="1">
      <c r="F285" s="47"/>
      <c r="G285" s="47"/>
    </row>
    <row r="286" ht="15.75" customHeight="1">
      <c r="F286" s="47"/>
      <c r="G286" s="47"/>
    </row>
    <row r="287" ht="15.75" customHeight="1">
      <c r="F287" s="47"/>
      <c r="G287" s="47"/>
    </row>
    <row r="288" ht="15.75" customHeight="1">
      <c r="F288" s="47"/>
      <c r="G288" s="47"/>
    </row>
    <row r="289" ht="15.75" customHeight="1">
      <c r="F289" s="47"/>
      <c r="G289" s="47"/>
    </row>
    <row r="290" ht="15.75" customHeight="1">
      <c r="F290" s="47"/>
      <c r="G290" s="47"/>
    </row>
    <row r="291" ht="15.75" customHeight="1">
      <c r="F291" s="47"/>
      <c r="G291" s="47"/>
    </row>
    <row r="292" ht="15.75" customHeight="1">
      <c r="F292" s="47"/>
      <c r="G292" s="47"/>
    </row>
    <row r="293" ht="15.75" customHeight="1">
      <c r="F293" s="47"/>
      <c r="G293" s="47"/>
    </row>
    <row r="294" ht="15.75" customHeight="1">
      <c r="F294" s="47"/>
      <c r="G294" s="47"/>
    </row>
    <row r="295" ht="15.75" customHeight="1">
      <c r="F295" s="47"/>
      <c r="G295" s="47"/>
    </row>
    <row r="296" ht="15.75" customHeight="1">
      <c r="F296" s="47"/>
      <c r="G296" s="47"/>
    </row>
    <row r="297" ht="15.75" customHeight="1">
      <c r="F297" s="47"/>
      <c r="G297" s="47"/>
    </row>
    <row r="298" ht="15.75" customHeight="1">
      <c r="F298" s="47"/>
      <c r="G298" s="47"/>
    </row>
    <row r="299" ht="15.75" customHeight="1">
      <c r="F299" s="47"/>
      <c r="G299" s="47"/>
    </row>
    <row r="300" ht="15.75" customHeight="1">
      <c r="F300" s="47"/>
      <c r="G300" s="47"/>
    </row>
    <row r="301" ht="15.75" customHeight="1">
      <c r="F301" s="47"/>
      <c r="G301" s="47"/>
    </row>
    <row r="302" ht="15.75" customHeight="1">
      <c r="F302" s="47"/>
      <c r="G302" s="47"/>
    </row>
    <row r="303" ht="15.75" customHeight="1">
      <c r="F303" s="47"/>
      <c r="G303" s="47"/>
    </row>
    <row r="304" ht="15.75" customHeight="1">
      <c r="F304" s="47"/>
      <c r="G304" s="47"/>
    </row>
    <row r="305" ht="15.75" customHeight="1">
      <c r="F305" s="47"/>
      <c r="G305" s="47"/>
    </row>
    <row r="306" ht="15.75" customHeight="1">
      <c r="F306" s="47"/>
      <c r="G306" s="47"/>
    </row>
    <row r="307" ht="15.75" customHeight="1">
      <c r="F307" s="47"/>
      <c r="G307" s="47"/>
    </row>
    <row r="308" ht="15.75" customHeight="1">
      <c r="F308" s="47"/>
      <c r="G308" s="47"/>
    </row>
    <row r="309" ht="15.75" customHeight="1">
      <c r="F309" s="47"/>
      <c r="G309" s="47"/>
    </row>
    <row r="310" ht="15.75" customHeight="1">
      <c r="F310" s="47"/>
      <c r="G310" s="47"/>
    </row>
    <row r="311" ht="15.75" customHeight="1">
      <c r="F311" s="47"/>
      <c r="G311" s="47"/>
    </row>
    <row r="312" ht="15.75" customHeight="1">
      <c r="F312" s="47"/>
      <c r="G312" s="47"/>
    </row>
    <row r="313" ht="15.75" customHeight="1">
      <c r="F313" s="47"/>
      <c r="G313" s="47"/>
    </row>
    <row r="314" ht="15.75" customHeight="1">
      <c r="F314" s="47"/>
      <c r="G314" s="47"/>
    </row>
    <row r="315" ht="15.75" customHeight="1">
      <c r="F315" s="47"/>
      <c r="G315" s="47"/>
    </row>
    <row r="316" ht="15.75" customHeight="1">
      <c r="F316" s="47"/>
      <c r="G316" s="47"/>
    </row>
    <row r="317" ht="15.75" customHeight="1">
      <c r="F317" s="47"/>
      <c r="G317" s="47"/>
    </row>
    <row r="318" ht="15.75" customHeight="1">
      <c r="F318" s="47"/>
      <c r="G318" s="47"/>
    </row>
    <row r="319" ht="15.75" customHeight="1">
      <c r="F319" s="47"/>
      <c r="G319" s="47"/>
    </row>
    <row r="320" ht="15.75" customHeight="1">
      <c r="F320" s="47"/>
      <c r="G320" s="47"/>
    </row>
    <row r="321" ht="15.75" customHeight="1">
      <c r="F321" s="47"/>
      <c r="G321" s="47"/>
    </row>
    <row r="322" ht="15.75" customHeight="1">
      <c r="F322" s="47"/>
      <c r="G322" s="47"/>
    </row>
    <row r="323" ht="15.75" customHeight="1">
      <c r="F323" s="47"/>
      <c r="G323" s="47"/>
    </row>
    <row r="324" ht="15.75" customHeight="1">
      <c r="F324" s="47"/>
      <c r="G324" s="47"/>
    </row>
    <row r="325" ht="15.75" customHeight="1">
      <c r="F325" s="47"/>
      <c r="G325" s="47"/>
    </row>
    <row r="326" ht="15.75" customHeight="1">
      <c r="F326" s="47"/>
      <c r="G326" s="47"/>
    </row>
    <row r="327" ht="15.75" customHeight="1">
      <c r="F327" s="47"/>
      <c r="G327" s="47"/>
    </row>
    <row r="328" ht="15.75" customHeight="1">
      <c r="F328" s="47"/>
      <c r="G328" s="47"/>
    </row>
    <row r="329" ht="15.75" customHeight="1">
      <c r="F329" s="47"/>
      <c r="G329" s="47"/>
    </row>
    <row r="330" ht="15.75" customHeight="1">
      <c r="F330" s="47"/>
      <c r="G330" s="47"/>
    </row>
    <row r="331" ht="15.75" customHeight="1">
      <c r="F331" s="47"/>
      <c r="G331" s="47"/>
    </row>
    <row r="332" ht="15.75" customHeight="1">
      <c r="F332" s="47"/>
      <c r="G332" s="47"/>
    </row>
    <row r="333" ht="15.75" customHeight="1">
      <c r="F333" s="47"/>
      <c r="G333" s="47"/>
    </row>
    <row r="334" ht="15.75" customHeight="1">
      <c r="F334" s="47"/>
      <c r="G334" s="47"/>
    </row>
    <row r="335" ht="15.75" customHeight="1">
      <c r="F335" s="47"/>
      <c r="G335" s="47"/>
    </row>
    <row r="336" ht="15.75" customHeight="1">
      <c r="F336" s="47"/>
      <c r="G336" s="47"/>
    </row>
    <row r="337" ht="15.75" customHeight="1">
      <c r="F337" s="47"/>
      <c r="G337" s="47"/>
    </row>
    <row r="338" ht="15.75" customHeight="1">
      <c r="F338" s="47"/>
      <c r="G338" s="47"/>
    </row>
    <row r="339" ht="15.75" customHeight="1">
      <c r="F339" s="47"/>
      <c r="G339" s="47"/>
    </row>
    <row r="340" ht="15.75" customHeight="1">
      <c r="F340" s="47"/>
      <c r="G340" s="47"/>
    </row>
    <row r="341" ht="15.75" customHeight="1">
      <c r="F341" s="47"/>
      <c r="G341" s="47"/>
    </row>
    <row r="342" ht="15.75" customHeight="1">
      <c r="F342" s="47"/>
      <c r="G342" s="47"/>
    </row>
    <row r="343" ht="15.75" customHeight="1">
      <c r="F343" s="47"/>
      <c r="G343" s="47"/>
    </row>
    <row r="344" ht="15.75" customHeight="1">
      <c r="F344" s="47"/>
      <c r="G344" s="47"/>
    </row>
    <row r="345" ht="15.75" customHeight="1">
      <c r="F345" s="47"/>
      <c r="G345" s="47"/>
    </row>
    <row r="346" ht="15.75" customHeight="1">
      <c r="F346" s="47"/>
      <c r="G346" s="47"/>
    </row>
    <row r="347" ht="15.75" customHeight="1">
      <c r="F347" s="47"/>
      <c r="G347" s="47"/>
    </row>
    <row r="348" ht="15.75" customHeight="1">
      <c r="F348" s="47"/>
      <c r="G348" s="47"/>
    </row>
    <row r="349" ht="15.75" customHeight="1">
      <c r="F349" s="47"/>
      <c r="G349" s="47"/>
    </row>
    <row r="350" ht="15.75" customHeight="1">
      <c r="F350" s="47"/>
      <c r="G350" s="47"/>
    </row>
    <row r="351" ht="15.75" customHeight="1">
      <c r="F351" s="47"/>
      <c r="G351" s="47"/>
    </row>
    <row r="352" ht="15.75" customHeight="1">
      <c r="F352" s="47"/>
      <c r="G352" s="47"/>
    </row>
    <row r="353" ht="15.75" customHeight="1">
      <c r="F353" s="47"/>
      <c r="G353" s="47"/>
    </row>
    <row r="354" ht="15.75" customHeight="1">
      <c r="F354" s="47"/>
      <c r="G354" s="47"/>
    </row>
    <row r="355" ht="15.75" customHeight="1">
      <c r="F355" s="47"/>
      <c r="G355" s="47"/>
    </row>
    <row r="356" ht="15.75" customHeight="1">
      <c r="F356" s="47"/>
      <c r="G356" s="47"/>
    </row>
    <row r="357" ht="15.75" customHeight="1">
      <c r="F357" s="47"/>
      <c r="G357" s="47"/>
    </row>
    <row r="358" ht="15.75" customHeight="1">
      <c r="F358" s="47"/>
      <c r="G358" s="47"/>
    </row>
    <row r="359" ht="15.75" customHeight="1">
      <c r="F359" s="47"/>
      <c r="G359" s="47"/>
    </row>
    <row r="360" ht="15.75" customHeight="1">
      <c r="F360" s="47"/>
      <c r="G360" s="47"/>
    </row>
    <row r="361" ht="15.75" customHeight="1">
      <c r="F361" s="47"/>
      <c r="G361" s="47"/>
    </row>
    <row r="362" ht="15.75" customHeight="1">
      <c r="F362" s="47"/>
      <c r="G362" s="47"/>
    </row>
    <row r="363" ht="15.75" customHeight="1">
      <c r="F363" s="47"/>
      <c r="G363" s="47"/>
    </row>
    <row r="364" ht="15.75" customHeight="1">
      <c r="F364" s="47"/>
      <c r="G364" s="47"/>
    </row>
    <row r="365" ht="15.75" customHeight="1">
      <c r="F365" s="47"/>
      <c r="G365" s="47"/>
    </row>
    <row r="366" ht="15.75" customHeight="1">
      <c r="F366" s="47"/>
      <c r="G366" s="47"/>
    </row>
    <row r="367" ht="15.75" customHeight="1">
      <c r="F367" s="47"/>
      <c r="G367" s="47"/>
    </row>
    <row r="368" ht="15.75" customHeight="1">
      <c r="F368" s="47"/>
      <c r="G368" s="47"/>
    </row>
    <row r="369" ht="15.75" customHeight="1">
      <c r="F369" s="47"/>
      <c r="G369" s="47"/>
    </row>
    <row r="370" ht="15.75" customHeight="1">
      <c r="F370" s="47"/>
      <c r="G370" s="47"/>
    </row>
    <row r="371" ht="15.75" customHeight="1">
      <c r="F371" s="47"/>
      <c r="G371" s="47"/>
    </row>
    <row r="372" ht="15.75" customHeight="1">
      <c r="F372" s="47"/>
      <c r="G372" s="47"/>
    </row>
    <row r="373" ht="15.75" customHeight="1">
      <c r="F373" s="47"/>
      <c r="G373" s="47"/>
    </row>
    <row r="374" ht="15.75" customHeight="1">
      <c r="F374" s="47"/>
      <c r="G374" s="47"/>
    </row>
    <row r="375" ht="15.75" customHeight="1">
      <c r="F375" s="47"/>
      <c r="G375" s="47"/>
    </row>
    <row r="376" ht="15.75" customHeight="1">
      <c r="F376" s="47"/>
      <c r="G376" s="47"/>
    </row>
    <row r="377" ht="15.75" customHeight="1">
      <c r="F377" s="47"/>
      <c r="G377" s="47"/>
    </row>
    <row r="378" ht="15.75" customHeight="1">
      <c r="F378" s="47"/>
      <c r="G378" s="47"/>
    </row>
    <row r="379" ht="15.75" customHeight="1">
      <c r="F379" s="47"/>
      <c r="G379" s="47"/>
    </row>
    <row r="380" ht="15.75" customHeight="1">
      <c r="F380" s="47"/>
      <c r="G380" s="47"/>
    </row>
    <row r="381" ht="15.75" customHeight="1">
      <c r="F381" s="47"/>
      <c r="G381" s="47"/>
    </row>
    <row r="382" ht="15.75" customHeight="1">
      <c r="F382" s="47"/>
      <c r="G382" s="47"/>
    </row>
    <row r="383" ht="15.75" customHeight="1">
      <c r="F383" s="47"/>
      <c r="G383" s="47"/>
    </row>
    <row r="384" ht="15.75" customHeight="1">
      <c r="F384" s="47"/>
      <c r="G384" s="47"/>
    </row>
    <row r="385" ht="15.75" customHeight="1">
      <c r="F385" s="47"/>
      <c r="G385" s="47"/>
    </row>
    <row r="386" ht="15.75" customHeight="1">
      <c r="F386" s="47"/>
      <c r="G386" s="47"/>
    </row>
    <row r="387" ht="15.75" customHeight="1">
      <c r="F387" s="47"/>
      <c r="G387" s="47"/>
    </row>
    <row r="388" ht="15.75" customHeight="1">
      <c r="F388" s="47"/>
      <c r="G388" s="47"/>
    </row>
    <row r="389" ht="15.75" customHeight="1">
      <c r="F389" s="47"/>
      <c r="G389" s="47"/>
    </row>
    <row r="390" ht="15.75" customHeight="1">
      <c r="F390" s="47"/>
      <c r="G390" s="47"/>
    </row>
    <row r="391" ht="15.75" customHeight="1">
      <c r="F391" s="47"/>
      <c r="G391" s="47"/>
    </row>
    <row r="392" ht="15.75" customHeight="1">
      <c r="F392" s="47"/>
      <c r="G392" s="47"/>
    </row>
    <row r="393" ht="15.75" customHeight="1">
      <c r="F393" s="47"/>
      <c r="G393" s="47"/>
    </row>
    <row r="394" ht="15.75" customHeight="1">
      <c r="F394" s="47"/>
      <c r="G394" s="47"/>
    </row>
    <row r="395" ht="15.75" customHeight="1">
      <c r="F395" s="47"/>
      <c r="G395" s="47"/>
    </row>
    <row r="396" ht="15.75" customHeight="1">
      <c r="F396" s="47"/>
      <c r="G396" s="47"/>
    </row>
    <row r="397" ht="15.75" customHeight="1">
      <c r="F397" s="47"/>
      <c r="G397" s="47"/>
    </row>
    <row r="398" ht="15.75" customHeight="1">
      <c r="F398" s="47"/>
      <c r="G398" s="47"/>
    </row>
    <row r="399" ht="15.75" customHeight="1">
      <c r="F399" s="47"/>
      <c r="G399" s="47"/>
    </row>
    <row r="400" ht="15.75" customHeight="1">
      <c r="F400" s="47"/>
      <c r="G400" s="47"/>
    </row>
    <row r="401" ht="15.75" customHeight="1">
      <c r="F401" s="47"/>
      <c r="G401" s="47"/>
    </row>
    <row r="402" ht="15.75" customHeight="1">
      <c r="F402" s="47"/>
      <c r="G402" s="47"/>
    </row>
    <row r="403" ht="15.75" customHeight="1">
      <c r="F403" s="47"/>
      <c r="G403" s="47"/>
    </row>
    <row r="404" ht="15.75" customHeight="1">
      <c r="F404" s="47"/>
      <c r="G404" s="47"/>
    </row>
    <row r="405" ht="15.75" customHeight="1">
      <c r="F405" s="47"/>
      <c r="G405" s="47"/>
    </row>
    <row r="406" ht="15.75" customHeight="1">
      <c r="F406" s="47"/>
      <c r="G406" s="47"/>
    </row>
    <row r="407" ht="15.75" customHeight="1">
      <c r="F407" s="47"/>
      <c r="G407" s="47"/>
    </row>
    <row r="408" ht="15.75" customHeight="1">
      <c r="F408" s="47"/>
      <c r="G408" s="47"/>
    </row>
    <row r="409" ht="15.75" customHeight="1">
      <c r="F409" s="47"/>
      <c r="G409" s="47"/>
    </row>
    <row r="410" ht="15.75" customHeight="1">
      <c r="F410" s="47"/>
      <c r="G410" s="47"/>
    </row>
    <row r="411" ht="15.75" customHeight="1">
      <c r="F411" s="47"/>
      <c r="G411" s="47"/>
    </row>
    <row r="412" ht="15.75" customHeight="1">
      <c r="F412" s="47"/>
      <c r="G412" s="47"/>
    </row>
    <row r="413" ht="15.75" customHeight="1">
      <c r="F413" s="47"/>
      <c r="G413" s="47"/>
    </row>
    <row r="414" ht="15.75" customHeight="1">
      <c r="F414" s="47"/>
      <c r="G414" s="47"/>
    </row>
    <row r="415" ht="15.75" customHeight="1">
      <c r="F415" s="47"/>
      <c r="G415" s="47"/>
    </row>
    <row r="416" ht="15.75" customHeight="1">
      <c r="F416" s="47"/>
      <c r="G416" s="47"/>
    </row>
    <row r="417" ht="15.75" customHeight="1">
      <c r="F417" s="47"/>
      <c r="G417" s="47"/>
    </row>
    <row r="418" ht="15.75" customHeight="1">
      <c r="F418" s="47"/>
      <c r="G418" s="47"/>
    </row>
    <row r="419" ht="15.75" customHeight="1">
      <c r="F419" s="47"/>
      <c r="G419" s="47"/>
    </row>
    <row r="420" ht="15.75" customHeight="1">
      <c r="F420" s="47"/>
      <c r="G420" s="47"/>
    </row>
    <row r="421" ht="15.75" customHeight="1">
      <c r="F421" s="47"/>
      <c r="G421" s="47"/>
    </row>
    <row r="422" ht="15.75" customHeight="1">
      <c r="F422" s="47"/>
      <c r="G422" s="47"/>
    </row>
    <row r="423" ht="15.75" customHeight="1">
      <c r="F423" s="47"/>
      <c r="G423" s="47"/>
    </row>
    <row r="424" ht="15.75" customHeight="1">
      <c r="F424" s="47"/>
      <c r="G424" s="47"/>
    </row>
    <row r="425" ht="15.75" customHeight="1">
      <c r="F425" s="47"/>
      <c r="G425" s="47"/>
    </row>
    <row r="426" ht="15.75" customHeight="1">
      <c r="F426" s="47"/>
      <c r="G426" s="47"/>
    </row>
    <row r="427" ht="15.75" customHeight="1">
      <c r="F427" s="47"/>
      <c r="G427" s="47"/>
    </row>
    <row r="428" ht="15.75" customHeight="1">
      <c r="F428" s="47"/>
      <c r="G428" s="47"/>
    </row>
    <row r="429" ht="15.75" customHeight="1">
      <c r="F429" s="47"/>
      <c r="G429" s="47"/>
    </row>
    <row r="430" ht="15.75" customHeight="1">
      <c r="F430" s="47"/>
      <c r="G430" s="47"/>
    </row>
    <row r="431" ht="15.75" customHeight="1">
      <c r="F431" s="47"/>
      <c r="G431" s="47"/>
    </row>
    <row r="432" ht="15.75" customHeight="1">
      <c r="F432" s="47"/>
      <c r="G432" s="47"/>
    </row>
    <row r="433" ht="15.75" customHeight="1">
      <c r="F433" s="47"/>
      <c r="G433" s="47"/>
    </row>
    <row r="434" ht="15.75" customHeight="1">
      <c r="F434" s="47"/>
      <c r="G434" s="47"/>
    </row>
    <row r="435" ht="15.75" customHeight="1">
      <c r="F435" s="47"/>
      <c r="G435" s="47"/>
    </row>
    <row r="436" ht="15.75" customHeight="1">
      <c r="F436" s="47"/>
      <c r="G436" s="47"/>
    </row>
    <row r="437" ht="15.75" customHeight="1">
      <c r="F437" s="47"/>
      <c r="G437" s="47"/>
    </row>
    <row r="438" ht="15.75" customHeight="1">
      <c r="F438" s="47"/>
      <c r="G438" s="47"/>
    </row>
    <row r="439" ht="15.75" customHeight="1">
      <c r="F439" s="47"/>
      <c r="G439" s="47"/>
    </row>
    <row r="440" ht="15.75" customHeight="1">
      <c r="F440" s="47"/>
      <c r="G440" s="47"/>
    </row>
    <row r="441" ht="15.75" customHeight="1">
      <c r="F441" s="47"/>
      <c r="G441" s="47"/>
    </row>
    <row r="442" ht="15.75" customHeight="1">
      <c r="F442" s="47"/>
      <c r="G442" s="47"/>
    </row>
    <row r="443" ht="15.75" customHeight="1">
      <c r="F443" s="47"/>
      <c r="G443" s="47"/>
    </row>
    <row r="444" ht="15.75" customHeight="1">
      <c r="F444" s="47"/>
      <c r="G444" s="47"/>
    </row>
    <row r="445" ht="15.75" customHeight="1">
      <c r="F445" s="47"/>
      <c r="G445" s="47"/>
    </row>
    <row r="446" ht="15.75" customHeight="1">
      <c r="F446" s="47"/>
      <c r="G446" s="47"/>
    </row>
    <row r="447" ht="15.75" customHeight="1">
      <c r="F447" s="47"/>
      <c r="G447" s="47"/>
    </row>
    <row r="448" ht="15.75" customHeight="1">
      <c r="F448" s="47"/>
      <c r="G448" s="47"/>
    </row>
    <row r="449" ht="15.75" customHeight="1">
      <c r="F449" s="47"/>
      <c r="G449" s="47"/>
    </row>
    <row r="450" ht="15.75" customHeight="1">
      <c r="F450" s="47"/>
      <c r="G450" s="47"/>
    </row>
    <row r="451" ht="15.75" customHeight="1">
      <c r="F451" s="47"/>
      <c r="G451" s="47"/>
    </row>
    <row r="452" ht="15.75" customHeight="1">
      <c r="F452" s="47"/>
      <c r="G452" s="47"/>
    </row>
    <row r="453" ht="15.75" customHeight="1">
      <c r="F453" s="47"/>
      <c r="G453" s="47"/>
    </row>
    <row r="454" ht="15.75" customHeight="1">
      <c r="F454" s="47"/>
      <c r="G454" s="47"/>
    </row>
    <row r="455" ht="15.75" customHeight="1">
      <c r="F455" s="47"/>
      <c r="G455" s="47"/>
    </row>
    <row r="456" ht="15.75" customHeight="1">
      <c r="F456" s="47"/>
      <c r="G456" s="47"/>
    </row>
    <row r="457" ht="15.75" customHeight="1">
      <c r="F457" s="47"/>
      <c r="G457" s="47"/>
    </row>
    <row r="458" ht="15.75" customHeight="1">
      <c r="F458" s="47"/>
      <c r="G458" s="47"/>
    </row>
    <row r="459" ht="15.75" customHeight="1">
      <c r="F459" s="47"/>
      <c r="G459" s="47"/>
    </row>
    <row r="460" ht="15.75" customHeight="1">
      <c r="F460" s="47"/>
      <c r="G460" s="47"/>
    </row>
    <row r="461" ht="15.75" customHeight="1">
      <c r="F461" s="47"/>
      <c r="G461" s="47"/>
    </row>
    <row r="462" ht="15.75" customHeight="1">
      <c r="F462" s="47"/>
      <c r="G462" s="47"/>
    </row>
    <row r="463" ht="15.75" customHeight="1">
      <c r="F463" s="47"/>
      <c r="G463" s="47"/>
    </row>
    <row r="464" ht="15.75" customHeight="1">
      <c r="F464" s="47"/>
      <c r="G464" s="47"/>
    </row>
    <row r="465" ht="15.75" customHeight="1">
      <c r="F465" s="47"/>
      <c r="G465" s="47"/>
    </row>
    <row r="466" ht="15.75" customHeight="1">
      <c r="F466" s="47"/>
      <c r="G466" s="47"/>
    </row>
    <row r="467" ht="15.75" customHeight="1">
      <c r="F467" s="47"/>
      <c r="G467" s="47"/>
    </row>
    <row r="468" ht="15.75" customHeight="1">
      <c r="F468" s="47"/>
      <c r="G468" s="47"/>
    </row>
    <row r="469" ht="15.75" customHeight="1">
      <c r="F469" s="47"/>
      <c r="G469" s="47"/>
    </row>
    <row r="470" ht="15.75" customHeight="1">
      <c r="F470" s="47"/>
      <c r="G470" s="47"/>
    </row>
    <row r="471" ht="15.75" customHeight="1">
      <c r="F471" s="47"/>
      <c r="G471" s="47"/>
    </row>
    <row r="472" ht="15.75" customHeight="1">
      <c r="F472" s="47"/>
      <c r="G472" s="47"/>
    </row>
    <row r="473" ht="15.75" customHeight="1">
      <c r="F473" s="47"/>
      <c r="G473" s="47"/>
    </row>
    <row r="474" ht="15.75" customHeight="1">
      <c r="F474" s="47"/>
      <c r="G474" s="47"/>
    </row>
    <row r="475" ht="15.75" customHeight="1">
      <c r="F475" s="47"/>
      <c r="G475" s="47"/>
    </row>
    <row r="476" ht="15.75" customHeight="1">
      <c r="F476" s="47"/>
      <c r="G476" s="47"/>
    </row>
    <row r="477" ht="15.75" customHeight="1">
      <c r="F477" s="47"/>
      <c r="G477" s="47"/>
    </row>
    <row r="478" ht="15.75" customHeight="1">
      <c r="F478" s="47"/>
      <c r="G478" s="47"/>
    </row>
    <row r="479" ht="15.75" customHeight="1">
      <c r="F479" s="47"/>
      <c r="G479" s="47"/>
    </row>
    <row r="480" ht="15.75" customHeight="1">
      <c r="F480" s="47"/>
      <c r="G480" s="47"/>
    </row>
    <row r="481" ht="15.75" customHeight="1">
      <c r="F481" s="47"/>
      <c r="G481" s="47"/>
    </row>
    <row r="482" ht="15.75" customHeight="1">
      <c r="F482" s="47"/>
      <c r="G482" s="47"/>
    </row>
    <row r="483" ht="15.75" customHeight="1">
      <c r="F483" s="47"/>
      <c r="G483" s="47"/>
    </row>
    <row r="484" ht="15.75" customHeight="1">
      <c r="F484" s="47"/>
      <c r="G484" s="47"/>
    </row>
    <row r="485" ht="15.75" customHeight="1">
      <c r="F485" s="47"/>
      <c r="G485" s="47"/>
    </row>
    <row r="486" ht="15.75" customHeight="1">
      <c r="F486" s="47"/>
      <c r="G486" s="47"/>
    </row>
    <row r="487" ht="15.75" customHeight="1">
      <c r="F487" s="47"/>
      <c r="G487" s="47"/>
    </row>
    <row r="488" ht="15.75" customHeight="1">
      <c r="F488" s="47"/>
      <c r="G488" s="47"/>
    </row>
    <row r="489" ht="15.75" customHeight="1">
      <c r="F489" s="47"/>
      <c r="G489" s="47"/>
    </row>
    <row r="490" ht="15.75" customHeight="1">
      <c r="F490" s="47"/>
      <c r="G490" s="47"/>
    </row>
    <row r="491" ht="15.75" customHeight="1">
      <c r="F491" s="47"/>
      <c r="G491" s="47"/>
    </row>
    <row r="492" ht="15.75" customHeight="1">
      <c r="F492" s="47"/>
      <c r="G492" s="47"/>
    </row>
    <row r="493" ht="15.75" customHeight="1">
      <c r="F493" s="47"/>
      <c r="G493" s="47"/>
    </row>
    <row r="494" ht="15.75" customHeight="1">
      <c r="F494" s="47"/>
      <c r="G494" s="47"/>
    </row>
    <row r="495" ht="15.75" customHeight="1">
      <c r="F495" s="47"/>
      <c r="G495" s="47"/>
    </row>
    <row r="496" ht="15.75" customHeight="1">
      <c r="F496" s="47"/>
      <c r="G496" s="47"/>
    </row>
    <row r="497" ht="15.75" customHeight="1">
      <c r="F497" s="47"/>
      <c r="G497" s="47"/>
    </row>
    <row r="498" ht="15.75" customHeight="1">
      <c r="F498" s="47"/>
      <c r="G498" s="47"/>
    </row>
    <row r="499" ht="15.75" customHeight="1">
      <c r="F499" s="47"/>
      <c r="G499" s="47"/>
    </row>
    <row r="500" ht="15.75" customHeight="1">
      <c r="F500" s="47"/>
      <c r="G500" s="47"/>
    </row>
    <row r="501" ht="15.75" customHeight="1">
      <c r="F501" s="47"/>
      <c r="G501" s="47"/>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F2:F1000">
    <cfRule type="expression" dxfId="1" priority="1">
      <formula>$F2="active"</formula>
    </cfRule>
  </conditionalFormatting>
  <conditionalFormatting sqref="F2:F1000">
    <cfRule type="expression" dxfId="1" priority="2">
      <formula>$F2="completed"</formula>
    </cfRule>
  </conditionalFormatting>
  <conditionalFormatting sqref="F2:F1000">
    <cfRule type="expression" dxfId="1" priority="3">
      <formula>$F2="paid"</formula>
    </cfRule>
  </conditionalFormatting>
  <conditionalFormatting sqref="F2:F1000">
    <cfRule type="expression" dxfId="1" priority="4">
      <formula>$F2="present"</formula>
    </cfRule>
  </conditionalFormatting>
  <conditionalFormatting sqref="F2:F1000">
    <cfRule type="expression" dxfId="2" priority="5">
      <formula>$F2="inactive"</formula>
    </cfRule>
  </conditionalFormatting>
  <conditionalFormatting sqref="F2:F1000">
    <cfRule type="expression" dxfId="3" priority="6">
      <formula>$F2="absent"</formula>
    </cfRule>
  </conditionalFormatting>
  <conditionalFormatting sqref="F2:F1000">
    <cfRule type="expression" dxfId="4" priority="7">
      <formula>$F2="late"</formula>
    </cfRule>
  </conditionalFormatting>
  <conditionalFormatting sqref="F2:F1000">
    <cfRule type="expression" dxfId="4" priority="8">
      <formula>$F2="pending"</formula>
    </cfRule>
  </conditionalFormatting>
  <conditionalFormatting sqref="F2:F1000">
    <cfRule type="expression" dxfId="3" priority="9">
      <formula>$F2="cancelled"</formula>
    </cfRule>
  </conditionalFormatting>
  <dataValidations>
    <dataValidation type="list" allowBlank="1" sqref="G2:G501">
      <formula1>DanhMuc!$J$2:$J$100</formula1>
    </dataValidation>
    <dataValidation type="list" allowBlank="1" sqref="F2:F501">
      <formula1>DanhMuc!$I$2:$I$100</formula1>
    </dataValidation>
  </dataValidations>
  <printOptions/>
  <pageMargins bottom="0.75" footer="0.0" header="0.0" left="0.7" right="0.7" top="0.75"/>
  <pageSetup orientation="landscape"/>
  <drawing r:id="rId2"/>
  <legacyDrawing r:id="rId3"/>
  <tableParts count="1">
    <tablePart r:id="rId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75569"/>
    <pageSetUpPr/>
  </sheetPr>
  <sheetViews>
    <sheetView showGridLines="0" workbookViewId="0">
      <pane ySplit="1" topLeftCell="A2" activePane="bottomLeft" state="frozen"/>
      <selection pane="bottomLeft"/>
    </sheetView>
  </sheetViews>
  <sheetFormatPr customHeight="1" defaultColWidth="12.63" defaultRowHeight="15.0"/>
  <cols>
    <col min="1" max="1" width="10" customWidth="1"/>
    <col min="2" max="2" width="21" customWidth="1"/>
    <col min="3" max="3" width="10" customWidth="1"/>
    <col min="4" max="4" width="10" customWidth="1"/>
    <col min="5" max="5" width="10" customWidth="1"/>
    <col min="6" max="6" width="10" customWidth="1"/>
    <col min="7" max="7" width="42" customWidth="1"/>
    <col min="8" max="8" width="10" customWidth="1"/>
  </cols>
  <sheetData>
    <row r="1" ht="31.5" customHeight="1">
      <c r="A1" s="3" t="s">
        <v>548</v>
      </c>
      <c r="B1" s="3" t="s">
        <v>549</v>
      </c>
      <c r="C1" s="3" t="s">
        <v>550</v>
      </c>
      <c r="D1" s="3" t="s">
        <v>551</v>
      </c>
      <c r="E1" s="3" t="s">
        <v>552</v>
      </c>
      <c r="F1" s="3" t="s">
        <v>553</v>
      </c>
      <c r="G1" s="3" t="s">
        <v>554</v>
      </c>
      <c r="H1" s="3" t="s">
        <v>555</v>
      </c>
    </row>
    <row r="2" ht="22.5" customHeight="1">
      <c r="A2" s="29" t="s">
        <v>556</v>
      </c>
      <c r="B2" s="29" t="s">
        <v>403</v>
      </c>
      <c r="C2" s="29" t="inlineStr">
        <is>
          <t>saveTeacher</t>
        </is>
      </c>
      <c r="D2" s="29" t="inlineStr">
        <is>
          <t>GiaoVien</t>
        </is>
      </c>
      <c r="E2" s="29" t="inlineStr">
        <is>
          <t>GV0001</t>
        </is>
      </c>
      <c r="F2" s="19"/>
      <c r="G2" s="29" t="s">
        <v>558</v>
      </c>
      <c r="H2" s="29" t="inlineStr">
        <is>
          <t>ok</t>
        </is>
      </c>
    </row>
    <row r="3" ht="22.5" customHeight="1">
      <c r="A3" s="35" t="s">
        <v>560</v>
      </c>
      <c r="B3" s="35" t="s">
        <v>561</v>
      </c>
      <c r="C3" s="35" t="inlineStr">
        <is>
          <t>saveClass</t>
        </is>
      </c>
      <c r="D3" s="35" t="inlineStr">
        <is>
          <t>LopHoc</t>
        </is>
      </c>
      <c r="E3" s="35" t="inlineStr">
        <is>
          <t>K12</t>
        </is>
      </c>
      <c r="F3" s="15"/>
      <c r="G3" s="35" t="s">
        <v>564</v>
      </c>
      <c r="H3" s="35" t="inlineStr">
        <is>
          <t>ok</t>
        </is>
      </c>
    </row>
    <row r="4" ht="22.5" customHeight="1">
      <c r="A4" s="29" t="s">
        <v>565</v>
      </c>
      <c r="B4" s="29" t="s">
        <v>566</v>
      </c>
      <c r="C4" s="29" t="inlineStr">
        <is>
          <t>saveHS</t>
        </is>
      </c>
      <c r="D4" s="29" t="inlineStr">
        <is>
          <t>HocSinh</t>
        </is>
      </c>
      <c r="E4" s="29" t="inlineStr">
        <is>
          <t>HS001</t>
        </is>
      </c>
      <c r="F4" s="19"/>
      <c r="G4" s="29" t="s">
        <v>569</v>
      </c>
      <c r="H4" s="29" t="inlineStr">
        <is>
          <t>ok</t>
        </is>
      </c>
    </row>
    <row r="5" ht="22.5" customHeight="1">
      <c r="A5" s="35" t="s">
        <v>570</v>
      </c>
      <c r="B5" s="35" t="s">
        <v>571</v>
      </c>
      <c r="C5" s="35" t="inlineStr">
        <is>
          <t>saveHS</t>
        </is>
      </c>
      <c r="D5" s="35" t="inlineStr">
        <is>
          <t>HocSinh</t>
        </is>
      </c>
      <c r="E5" s="35" t="inlineStr">
        <is>
          <t>HS002</t>
        </is>
      </c>
      <c r="F5" s="15"/>
      <c r="G5" s="35" t="s">
        <v>572</v>
      </c>
      <c r="H5" s="35" t="inlineStr">
        <is>
          <t>ok</t>
        </is>
      </c>
    </row>
    <row r="6" ht="22.5" customHeight="1">
      <c r="A6" s="29" t="s">
        <v>573</v>
      </c>
      <c r="B6" s="29" t="s">
        <v>161</v>
      </c>
      <c r="C6" s="29" t="inlineStr">
        <is>
          <t>saveHS</t>
        </is>
      </c>
      <c r="D6" s="29" t="inlineStr">
        <is>
          <t>HocSinh</t>
        </is>
      </c>
      <c r="E6" s="29" t="inlineStr">
        <is>
          <t>HS003</t>
        </is>
      </c>
      <c r="F6" s="19"/>
      <c r="G6" s="29" t="s">
        <v>574</v>
      </c>
      <c r="H6" s="29" t="inlineStr">
        <is>
          <t>ok</t>
        </is>
      </c>
    </row>
    <row r="7" ht="22.5" customHeight="1">
      <c r="A7" s="35" t="s">
        <v>575</v>
      </c>
      <c r="B7" s="35" t="s">
        <v>576</v>
      </c>
      <c r="C7" s="35" t="inlineStr">
        <is>
          <t>saveHS</t>
        </is>
      </c>
      <c r="D7" s="35" t="inlineStr">
        <is>
          <t>HocSinh</t>
        </is>
      </c>
      <c r="E7" s="35" t="inlineStr">
        <is>
          <t>HS004</t>
        </is>
      </c>
      <c r="F7" s="15"/>
      <c r="G7" s="35" t="s">
        <v>577</v>
      </c>
      <c r="H7" s="35" t="inlineStr">
        <is>
          <t>ok</t>
        </is>
      </c>
    </row>
    <row r="8" ht="22.5" customHeight="1">
      <c r="A8" s="29" t="s">
        <v>578</v>
      </c>
      <c r="B8" s="29" t="s">
        <v>579</v>
      </c>
      <c r="C8" s="29" t="inlineStr">
        <is>
          <t>saveHS</t>
        </is>
      </c>
      <c r="D8" s="29" t="inlineStr">
        <is>
          <t>HocSinh</t>
        </is>
      </c>
      <c r="E8" s="29" t="inlineStr">
        <is>
          <t>HS005</t>
        </is>
      </c>
      <c r="F8" s="19"/>
      <c r="G8" s="29" t="s">
        <v>580</v>
      </c>
      <c r="H8" s="29" t="inlineStr">
        <is>
          <t>ok</t>
        </is>
      </c>
    </row>
    <row r="9" ht="22.5" customHeight="1">
      <c r="A9" s="35" t="s">
        <v>581</v>
      </c>
      <c r="B9" s="35" t="s">
        <v>582</v>
      </c>
      <c r="C9" s="35" t="inlineStr">
        <is>
          <t>saveHS</t>
        </is>
      </c>
      <c r="D9" s="35" t="inlineStr">
        <is>
          <t>HocSinh</t>
        </is>
      </c>
      <c r="E9" s="35" t="inlineStr">
        <is>
          <t>HS006</t>
        </is>
      </c>
      <c r="F9" s="15"/>
      <c r="G9" s="35" t="s">
        <v>583</v>
      </c>
      <c r="H9" s="35" t="inlineStr">
        <is>
          <t>ok</t>
        </is>
      </c>
    </row>
    <row r="10" ht="22.5" customHeight="1">
      <c r="A10" s="29" t="s">
        <v>584</v>
      </c>
      <c r="B10" s="29" t="s">
        <v>585</v>
      </c>
      <c r="C10" s="29" t="inlineStr">
        <is>
          <t>saveClass</t>
        </is>
      </c>
      <c r="D10" s="29" t="inlineStr">
        <is>
          <t>LopHoc</t>
        </is>
      </c>
      <c r="E10" s="29" t="inlineStr">
        <is>
          <t>12A</t>
        </is>
      </c>
      <c r="F10" s="19"/>
      <c r="G10" s="29" t="s">
        <v>586</v>
      </c>
      <c r="H10" s="29" t="inlineStr">
        <is>
          <t>ok</t>
        </is>
      </c>
    </row>
    <row r="11" ht="22.5" customHeight="1">
      <c r="A11" s="35" t="s">
        <v>587</v>
      </c>
      <c r="B11" s="35" t="s">
        <v>423</v>
      </c>
      <c r="C11" s="35" t="inlineStr">
        <is>
          <t>saveClass</t>
        </is>
      </c>
      <c r="D11" s="35" t="inlineStr">
        <is>
          <t>LopHoc</t>
        </is>
      </c>
      <c r="E11" s="35" t="inlineStr">
        <is>
          <t>12B</t>
        </is>
      </c>
      <c r="F11" s="15"/>
      <c r="G11" s="35" t="s">
        <v>588</v>
      </c>
      <c r="H11" s="35" t="inlineStr">
        <is>
          <t>ok</t>
        </is>
      </c>
    </row>
    <row r="12" ht="22.5" customHeight="1">
      <c r="A12" s="29" t="s">
        <v>589</v>
      </c>
      <c r="B12" s="29" t="s">
        <v>590</v>
      </c>
      <c r="C12" s="29" t="inlineStr">
        <is>
          <t>saveClass</t>
        </is>
      </c>
      <c r="D12" s="29" t="inlineStr">
        <is>
          <t>LopHoc</t>
        </is>
      </c>
      <c r="E12" s="29" t="inlineStr">
        <is>
          <t>6A</t>
        </is>
      </c>
      <c r="F12" s="19"/>
      <c r="G12" s="29" t="s">
        <v>591</v>
      </c>
      <c r="H12" s="29" t="inlineStr">
        <is>
          <t>ok</t>
        </is>
      </c>
    </row>
    <row r="13" ht="22.5" customHeight="1">
      <c r="A13" s="35" t="s">
        <v>592</v>
      </c>
      <c r="B13" s="35" t="s">
        <v>593</v>
      </c>
      <c r="C13" s="35" t="inlineStr">
        <is>
          <t>saveClass</t>
        </is>
      </c>
      <c r="D13" s="35" t="inlineStr">
        <is>
          <t>LopHoc</t>
        </is>
      </c>
      <c r="E13" s="35" t="inlineStr">
        <is>
          <t>10A</t>
        </is>
      </c>
      <c r="F13" s="15"/>
      <c r="G13" s="35" t="s">
        <v>594</v>
      </c>
      <c r="H13" s="35" t="inlineStr">
        <is>
          <t>ok</t>
        </is>
      </c>
    </row>
    <row r="14" ht="22.5" customHeight="1">
      <c r="A14" s="29" t="s">
        <v>595</v>
      </c>
      <c r="B14" s="29" t="s">
        <v>441</v>
      </c>
      <c r="C14" s="29" t="inlineStr">
        <is>
          <t>saveHS</t>
        </is>
      </c>
      <c r="D14" s="29" t="inlineStr">
        <is>
          <t>HocSinh</t>
        </is>
      </c>
      <c r="E14" s="29" t="inlineStr">
        <is>
          <t>HS007</t>
        </is>
      </c>
      <c r="F14" s="19"/>
      <c r="G14" s="29" t="s">
        <v>596</v>
      </c>
      <c r="H14" s="29" t="inlineStr">
        <is>
          <t>ok</t>
        </is>
      </c>
    </row>
    <row r="15" ht="22.5" customHeight="1">
      <c r="A15" s="35" t="s">
        <v>597</v>
      </c>
      <c r="B15" s="35" t="s">
        <v>443</v>
      </c>
      <c r="C15" s="35" t="inlineStr">
        <is>
          <t>saveHS</t>
        </is>
      </c>
      <c r="D15" s="35" t="inlineStr">
        <is>
          <t>HocSinh</t>
        </is>
      </c>
      <c r="E15" s="35" t="inlineStr">
        <is>
          <t>HS008</t>
        </is>
      </c>
      <c r="F15" s="15"/>
      <c r="G15" s="35" t="s">
        <v>598</v>
      </c>
      <c r="H15" s="35" t="inlineStr">
        <is>
          <t>ok</t>
        </is>
      </c>
    </row>
    <row r="16" ht="22.5" customHeight="1">
      <c r="A16" s="29" t="s">
        <v>599</v>
      </c>
      <c r="B16" s="29" t="s">
        <v>445</v>
      </c>
      <c r="C16" s="29" t="inlineStr">
        <is>
          <t>saveHS</t>
        </is>
      </c>
      <c r="D16" s="29" t="inlineStr">
        <is>
          <t>HocSinh</t>
        </is>
      </c>
      <c r="E16" s="29" t="inlineStr">
        <is>
          <t>HS009</t>
        </is>
      </c>
      <c r="F16" s="19"/>
      <c r="G16" s="29" t="s">
        <v>600</v>
      </c>
      <c r="H16" s="29" t="inlineStr">
        <is>
          <t>ok</t>
        </is>
      </c>
    </row>
    <row r="17" ht="22.5" customHeight="1">
      <c r="A17" s="35" t="s">
        <v>601</v>
      </c>
      <c r="B17" s="35" t="s">
        <v>447</v>
      </c>
      <c r="C17" s="35" t="inlineStr">
        <is>
          <t>saveHS</t>
        </is>
      </c>
      <c r="D17" s="35" t="inlineStr">
        <is>
          <t>HocSinh</t>
        </is>
      </c>
      <c r="E17" s="35" t="inlineStr">
        <is>
          <t>HS010</t>
        </is>
      </c>
      <c r="F17" s="15"/>
      <c r="G17" s="35" t="s">
        <v>602</v>
      </c>
      <c r="H17" s="35" t="inlineStr">
        <is>
          <t>ok</t>
        </is>
      </c>
    </row>
    <row r="18" ht="22.5" customHeight="1">
      <c r="A18" s="29" t="s">
        <v>603</v>
      </c>
      <c r="B18" s="29" t="s">
        <v>449</v>
      </c>
      <c r="C18" s="29" t="inlineStr">
        <is>
          <t>saveHS</t>
        </is>
      </c>
      <c r="D18" s="29" t="inlineStr">
        <is>
          <t>HocSinh</t>
        </is>
      </c>
      <c r="E18" s="29" t="inlineStr">
        <is>
          <t>HS011</t>
        </is>
      </c>
      <c r="F18" s="19"/>
      <c r="G18" s="29" t="s">
        <v>604</v>
      </c>
      <c r="H18" s="29" t="inlineStr">
        <is>
          <t>ok</t>
        </is>
      </c>
    </row>
    <row r="19" ht="22.5" customHeight="1">
      <c r="A19" s="35" t="s">
        <v>605</v>
      </c>
      <c r="B19" s="35" t="s">
        <v>451</v>
      </c>
      <c r="C19" s="35" t="inlineStr">
        <is>
          <t>saveHS</t>
        </is>
      </c>
      <c r="D19" s="35" t="inlineStr">
        <is>
          <t>HocSinh</t>
        </is>
      </c>
      <c r="E19" s="35" t="inlineStr">
        <is>
          <t>HS012</t>
        </is>
      </c>
      <c r="F19" s="15"/>
      <c r="G19" s="35" t="s">
        <v>606</v>
      </c>
      <c r="H19" s="35" t="inlineStr">
        <is>
          <t>ok</t>
        </is>
      </c>
    </row>
    <row r="20" ht="22.5" customHeight="1">
      <c r="A20" s="29" t="s">
        <v>607</v>
      </c>
      <c r="B20" s="29" t="s">
        <v>453</v>
      </c>
      <c r="C20" s="29" t="inlineStr">
        <is>
          <t>saveHS</t>
        </is>
      </c>
      <c r="D20" s="29" t="inlineStr">
        <is>
          <t>HocSinh</t>
        </is>
      </c>
      <c r="E20" s="29" t="inlineStr">
        <is>
          <t>HS013</t>
        </is>
      </c>
      <c r="F20" s="19"/>
      <c r="G20" s="29" t="s">
        <v>608</v>
      </c>
      <c r="H20" s="29" t="inlineStr">
        <is>
          <t>ok</t>
        </is>
      </c>
    </row>
    <row r="21" ht="22.5" customHeight="1">
      <c r="A21" s="35" t="s">
        <v>609</v>
      </c>
      <c r="B21" s="35" t="s">
        <v>455</v>
      </c>
      <c r="C21" s="35" t="inlineStr">
        <is>
          <t>saveHS</t>
        </is>
      </c>
      <c r="D21" s="35" t="inlineStr">
        <is>
          <t>HocSinh</t>
        </is>
      </c>
      <c r="E21" s="35" t="inlineStr">
        <is>
          <t>HS014</t>
        </is>
      </c>
      <c r="F21" s="15"/>
      <c r="G21" s="35" t="s">
        <v>610</v>
      </c>
      <c r="H21" s="35" t="inlineStr">
        <is>
          <t>ok</t>
        </is>
      </c>
    </row>
    <row r="22" ht="22.5" customHeight="1">
      <c r="A22" s="29" t="s">
        <v>611</v>
      </c>
      <c r="B22" s="29" t="s">
        <v>257</v>
      </c>
      <c r="C22" s="29" t="inlineStr">
        <is>
          <t>saveHS</t>
        </is>
      </c>
      <c r="D22" s="29" t="inlineStr">
        <is>
          <t>HocSinh</t>
        </is>
      </c>
      <c r="E22" s="29" t="inlineStr">
        <is>
          <t>HS015</t>
        </is>
      </c>
      <c r="F22" s="19"/>
      <c r="G22" s="29" t="s">
        <v>612</v>
      </c>
      <c r="H22" s="29" t="inlineStr">
        <is>
          <t>ok</t>
        </is>
      </c>
    </row>
    <row r="23" ht="22.5" customHeight="1">
      <c r="A23" s="35" t="s">
        <v>613</v>
      </c>
      <c r="B23" s="35" t="s">
        <v>458</v>
      </c>
      <c r="C23" s="35" t="inlineStr">
        <is>
          <t>saveHS</t>
        </is>
      </c>
      <c r="D23" s="35" t="inlineStr">
        <is>
          <t>HocSinh</t>
        </is>
      </c>
      <c r="E23" s="35" t="inlineStr">
        <is>
          <t>HS016</t>
        </is>
      </c>
      <c r="F23" s="15"/>
      <c r="G23" s="35" t="s">
        <v>614</v>
      </c>
      <c r="H23" s="35" t="inlineStr">
        <is>
          <t>ok</t>
        </is>
      </c>
    </row>
    <row r="24" ht="22.5" customHeight="1">
      <c r="A24" s="29" t="s">
        <v>615</v>
      </c>
      <c r="B24" s="29" t="s">
        <v>460</v>
      </c>
      <c r="C24" s="29" t="inlineStr">
        <is>
          <t>saveHS</t>
        </is>
      </c>
      <c r="D24" s="29" t="inlineStr">
        <is>
          <t>HocSinh</t>
        </is>
      </c>
      <c r="E24" s="29" t="inlineStr">
        <is>
          <t>HS017</t>
        </is>
      </c>
      <c r="F24" s="19"/>
      <c r="G24" s="29" t="s">
        <v>616</v>
      </c>
      <c r="H24" s="29" t="inlineStr">
        <is>
          <t>ok</t>
        </is>
      </c>
    </row>
    <row r="25" ht="22.5" customHeight="1">
      <c r="A25" s="35" t="s">
        <v>617</v>
      </c>
      <c r="B25" s="35" t="s">
        <v>462</v>
      </c>
      <c r="C25" s="35" t="inlineStr">
        <is>
          <t>saveHS</t>
        </is>
      </c>
      <c r="D25" s="35" t="inlineStr">
        <is>
          <t>HocSinh</t>
        </is>
      </c>
      <c r="E25" s="35" t="inlineStr">
        <is>
          <t>HS018</t>
        </is>
      </c>
      <c r="F25" s="15"/>
      <c r="G25" s="35" t="s">
        <v>618</v>
      </c>
      <c r="H25" s="35" t="inlineStr">
        <is>
          <t>ok</t>
        </is>
      </c>
    </row>
    <row r="26" ht="22.5" customHeight="1">
      <c r="A26" s="29" t="s">
        <v>619</v>
      </c>
      <c r="B26" s="29" t="s">
        <v>464</v>
      </c>
      <c r="C26" s="29" t="inlineStr">
        <is>
          <t>saveHS</t>
        </is>
      </c>
      <c r="D26" s="29" t="inlineStr">
        <is>
          <t>HocSinh</t>
        </is>
      </c>
      <c r="E26" s="29" t="inlineStr">
        <is>
          <t>HS019</t>
        </is>
      </c>
      <c r="F26" s="19"/>
      <c r="G26" s="29" t="s">
        <v>620</v>
      </c>
      <c r="H26" s="29" t="inlineStr">
        <is>
          <t>ok</t>
        </is>
      </c>
    </row>
    <row r="27" ht="22.5" customHeight="1">
      <c r="A27" s="35" t="s">
        <v>621</v>
      </c>
      <c r="B27" s="35" t="s">
        <v>466</v>
      </c>
      <c r="C27" s="35" t="inlineStr">
        <is>
          <t>saveHS</t>
        </is>
      </c>
      <c r="D27" s="35" t="inlineStr">
        <is>
          <t>HocSinh</t>
        </is>
      </c>
      <c r="E27" s="35" t="inlineStr">
        <is>
          <t>HS020</t>
        </is>
      </c>
      <c r="F27" s="15"/>
      <c r="G27" s="35" t="s">
        <v>622</v>
      </c>
      <c r="H27" s="35" t="inlineStr">
        <is>
          <t>ok</t>
        </is>
      </c>
    </row>
    <row r="28" ht="22.5" customHeight="1">
      <c r="A28" s="29" t="s">
        <v>623</v>
      </c>
      <c r="B28" s="29" t="s">
        <v>468</v>
      </c>
      <c r="C28" s="29" t="inlineStr">
        <is>
          <t>saveHS</t>
        </is>
      </c>
      <c r="D28" s="29" t="inlineStr">
        <is>
          <t>HocSinh</t>
        </is>
      </c>
      <c r="E28" s="29" t="inlineStr">
        <is>
          <t>HS021</t>
        </is>
      </c>
      <c r="F28" s="19"/>
      <c r="G28" s="29" t="s">
        <v>624</v>
      </c>
      <c r="H28" s="29" t="inlineStr">
        <is>
          <t>ok</t>
        </is>
      </c>
    </row>
    <row r="29" ht="22.5" customHeight="1">
      <c r="A29" s="35" t="s">
        <v>625</v>
      </c>
      <c r="B29" s="35" t="s">
        <v>470</v>
      </c>
      <c r="C29" s="35" t="inlineStr">
        <is>
          <t>saveHS</t>
        </is>
      </c>
      <c r="D29" s="35" t="inlineStr">
        <is>
          <t>HocSinh</t>
        </is>
      </c>
      <c r="E29" s="35" t="inlineStr">
        <is>
          <t>HS022</t>
        </is>
      </c>
      <c r="F29" s="15"/>
      <c r="G29" s="35" t="s">
        <v>626</v>
      </c>
      <c r="H29" s="35" t="inlineStr">
        <is>
          <t>ok</t>
        </is>
      </c>
    </row>
    <row r="30" ht="22.5" customHeight="1">
      <c r="A30" s="29" t="s">
        <v>627</v>
      </c>
      <c r="B30" s="29" t="s">
        <v>472</v>
      </c>
      <c r="C30" s="29" t="inlineStr">
        <is>
          <t>saveHS</t>
        </is>
      </c>
      <c r="D30" s="29" t="inlineStr">
        <is>
          <t>HocSinh</t>
        </is>
      </c>
      <c r="E30" s="29" t="inlineStr">
        <is>
          <t>HS023</t>
        </is>
      </c>
      <c r="F30" s="19"/>
      <c r="G30" s="29" t="s">
        <v>628</v>
      </c>
      <c r="H30" s="29" t="inlineStr">
        <is>
          <t>ok</t>
        </is>
      </c>
    </row>
    <row r="31" ht="22.5" customHeight="1">
      <c r="A31" s="35" t="s">
        <v>629</v>
      </c>
      <c r="B31" s="35" t="s">
        <v>474</v>
      </c>
      <c r="C31" s="35" t="inlineStr">
        <is>
          <t>saveHS</t>
        </is>
      </c>
      <c r="D31" s="35" t="inlineStr">
        <is>
          <t>HocSinh</t>
        </is>
      </c>
      <c r="E31" s="35" t="inlineStr">
        <is>
          <t>HS024</t>
        </is>
      </c>
      <c r="F31" s="15"/>
      <c r="G31" s="35" t="s">
        <v>630</v>
      </c>
      <c r="H31" s="35" t="inlineStr">
        <is>
          <t>ok</t>
        </is>
      </c>
    </row>
    <row r="32" ht="22.5" customHeight="1">
      <c r="A32" s="29" t="s">
        <v>631</v>
      </c>
      <c r="B32" s="29" t="s">
        <v>476</v>
      </c>
      <c r="C32" s="29" t="inlineStr">
        <is>
          <t>saveHS</t>
        </is>
      </c>
      <c r="D32" s="29" t="inlineStr">
        <is>
          <t>HocSinh</t>
        </is>
      </c>
      <c r="E32" s="29" t="inlineStr">
        <is>
          <t>HS025</t>
        </is>
      </c>
      <c r="F32" s="19"/>
      <c r="G32" s="29" t="s">
        <v>632</v>
      </c>
      <c r="H32" s="29" t="inlineStr">
        <is>
          <t>ok</t>
        </is>
      </c>
    </row>
    <row r="33" ht="22.5" customHeight="1">
      <c r="A33" s="35" t="s">
        <v>633</v>
      </c>
      <c r="B33" s="35" t="s">
        <v>478</v>
      </c>
      <c r="C33" s="35" t="inlineStr">
        <is>
          <t>updateHS</t>
        </is>
      </c>
      <c r="D33" s="35" t="inlineStr">
        <is>
          <t>HocSinh</t>
        </is>
      </c>
      <c r="E33" s="35" t="inlineStr">
        <is>
          <t>HS002</t>
        </is>
      </c>
      <c r="F33" s="15"/>
      <c r="G33" s="35" t="s">
        <v>635</v>
      </c>
      <c r="H33" s="35" t="inlineStr">
        <is>
          <t>ok</t>
        </is>
      </c>
    </row>
    <row r="34" ht="22.5" customHeight="1">
      <c r="A34" s="29" t="s">
        <v>636</v>
      </c>
      <c r="B34" s="29" t="s">
        <v>480</v>
      </c>
      <c r="C34" s="29" t="inlineStr">
        <is>
          <t>updateHS</t>
        </is>
      </c>
      <c r="D34" s="29" t="inlineStr">
        <is>
          <t>HocSinh</t>
        </is>
      </c>
      <c r="E34" s="29" t="inlineStr">
        <is>
          <t>HS003</t>
        </is>
      </c>
      <c r="F34" s="19"/>
      <c r="G34" s="29" t="s">
        <v>637</v>
      </c>
      <c r="H34" s="29" t="inlineStr">
        <is>
          <t>ok</t>
        </is>
      </c>
    </row>
    <row r="35" ht="22.5" customHeight="1">
      <c r="A35" s="35" t="s">
        <v>638</v>
      </c>
      <c r="B35" s="35" t="s">
        <v>639</v>
      </c>
      <c r="C35" s="35" t="inlineStr">
        <is>
          <t>updateHS</t>
        </is>
      </c>
      <c r="D35" s="35" t="inlineStr">
        <is>
          <t>HocSinh</t>
        </is>
      </c>
      <c r="E35" s="35" t="inlineStr">
        <is>
          <t>HS004</t>
        </is>
      </c>
      <c r="F35" s="15"/>
      <c r="G35" s="35" t="s">
        <v>640</v>
      </c>
      <c r="H35" s="35" t="inlineStr">
        <is>
          <t>ok</t>
        </is>
      </c>
    </row>
    <row r="36" ht="22.5" customHeight="1">
      <c r="A36" s="29" t="s">
        <v>641</v>
      </c>
      <c r="B36" s="29" t="s">
        <v>483</v>
      </c>
      <c r="C36" s="29" t="inlineStr">
        <is>
          <t>updateHS</t>
        </is>
      </c>
      <c r="D36" s="29" t="inlineStr">
        <is>
          <t>HocSinh</t>
        </is>
      </c>
      <c r="E36" s="29" t="inlineStr">
        <is>
          <t>HS005</t>
        </is>
      </c>
      <c r="F36" s="19"/>
      <c r="G36" s="29" t="s">
        <v>642</v>
      </c>
      <c r="H36" s="29" t="inlineStr">
        <is>
          <t>ok</t>
        </is>
      </c>
    </row>
    <row r="37" ht="22.5" customHeight="1">
      <c r="A37" s="35" t="s">
        <v>643</v>
      </c>
      <c r="B37" s="35" t="s">
        <v>644</v>
      </c>
      <c r="C37" s="35" t="inlineStr">
        <is>
          <t>updateHS</t>
        </is>
      </c>
      <c r="D37" s="35" t="inlineStr">
        <is>
          <t>HocSinh</t>
        </is>
      </c>
      <c r="E37" s="35" t="inlineStr">
        <is>
          <t>HS006</t>
        </is>
      </c>
      <c r="F37" s="15"/>
      <c r="G37" s="35" t="s">
        <v>645</v>
      </c>
      <c r="H37" s="35" t="inlineStr">
        <is>
          <t>ok</t>
        </is>
      </c>
    </row>
    <row r="38" ht="22.5" customHeight="1">
      <c r="A38" s="29" t="s">
        <v>646</v>
      </c>
      <c r="B38" s="29" t="s">
        <v>647</v>
      </c>
      <c r="C38" s="29" t="inlineStr">
        <is>
          <t>deleteHS</t>
        </is>
      </c>
      <c r="D38" s="29" t="inlineStr">
        <is>
          <t>HocSinh</t>
        </is>
      </c>
      <c r="E38" s="29" t="inlineStr">
        <is>
          <t>HS001</t>
        </is>
      </c>
      <c r="F38" s="19"/>
      <c r="G38" s="29" t="s">
        <v>649</v>
      </c>
      <c r="H38" s="29" t="inlineStr">
        <is>
          <t>ok</t>
        </is>
      </c>
    </row>
    <row r="39" ht="22.5" customHeight="1">
      <c r="A39" s="35" t="s">
        <v>650</v>
      </c>
      <c r="B39" s="35" t="s">
        <v>651</v>
      </c>
      <c r="C39" s="35" t="inlineStr">
        <is>
          <t>saveClass</t>
        </is>
      </c>
      <c r="D39" s="35" t="inlineStr">
        <is>
          <t>LopHoc</t>
        </is>
      </c>
      <c r="E39" s="35" t="inlineStr">
        <is>
          <t>10A</t>
        </is>
      </c>
      <c r="F39" s="15"/>
      <c r="G39" s="35" t="s">
        <v>594</v>
      </c>
      <c r="H39" s="35" t="inlineStr">
        <is>
          <t>ok</t>
        </is>
      </c>
    </row>
    <row r="40" ht="22.5" customHeight="1">
      <c r="A40" s="29" t="s">
        <v>652</v>
      </c>
      <c r="B40" s="29" t="s">
        <v>487</v>
      </c>
      <c r="C40" s="29" t="inlineStr">
        <is>
          <t>saveHS</t>
        </is>
      </c>
      <c r="D40" s="29" t="inlineStr">
        <is>
          <t>HocSinh</t>
        </is>
      </c>
      <c r="E40" s="29" t="inlineStr">
        <is>
          <t>HS026</t>
        </is>
      </c>
      <c r="F40" s="19"/>
      <c r="G40" s="29" t="s">
        <v>653</v>
      </c>
      <c r="H40" s="29" t="inlineStr">
        <is>
          <t>ok</t>
        </is>
      </c>
    </row>
    <row r="41" ht="22.5" customHeight="1">
      <c r="A41" s="35" t="s">
        <v>654</v>
      </c>
      <c r="B41" s="35" t="s">
        <v>489</v>
      </c>
      <c r="C41" s="35" t="inlineStr">
        <is>
          <t>saveHS</t>
        </is>
      </c>
      <c r="D41" s="35" t="inlineStr">
        <is>
          <t>HocSinh</t>
        </is>
      </c>
      <c r="E41" s="35" t="inlineStr">
        <is>
          <t>HS027</t>
        </is>
      </c>
      <c r="F41" s="15"/>
      <c r="G41" s="35" t="s">
        <v>655</v>
      </c>
      <c r="H41" s="35" t="inlineStr">
        <is>
          <t>ok</t>
        </is>
      </c>
    </row>
    <row r="42" ht="22.5" customHeight="1">
      <c r="A42" s="29" t="s">
        <v>656</v>
      </c>
      <c r="B42" s="29" t="s">
        <v>657</v>
      </c>
      <c r="C42" s="29" t="inlineStr">
        <is>
          <t>saveHS</t>
        </is>
      </c>
      <c r="D42" s="29" t="inlineStr">
        <is>
          <t>HocSinh</t>
        </is>
      </c>
      <c r="E42" s="29" t="inlineStr">
        <is>
          <t>HS028</t>
        </is>
      </c>
      <c r="F42" s="19"/>
      <c r="G42" s="29" t="s">
        <v>658</v>
      </c>
      <c r="H42" s="29" t="inlineStr">
        <is>
          <t>ok</t>
        </is>
      </c>
    </row>
    <row r="43" ht="22.5" customHeight="1">
      <c r="A43" s="35" t="s">
        <v>659</v>
      </c>
      <c r="B43" s="35" t="s">
        <v>492</v>
      </c>
      <c r="C43" s="35" t="inlineStr">
        <is>
          <t>saveHS</t>
        </is>
      </c>
      <c r="D43" s="35" t="inlineStr">
        <is>
          <t>HocSinh</t>
        </is>
      </c>
      <c r="E43" s="35" t="inlineStr">
        <is>
          <t>HS029</t>
        </is>
      </c>
      <c r="F43" s="15"/>
      <c r="G43" s="35" t="s">
        <v>660</v>
      </c>
      <c r="H43" s="35" t="inlineStr">
        <is>
          <t>ok</t>
        </is>
      </c>
    </row>
    <row r="44" ht="22.5" customHeight="1">
      <c r="A44" s="29" t="s">
        <v>661</v>
      </c>
      <c r="B44" s="29" t="s">
        <v>662</v>
      </c>
      <c r="C44" s="29" t="inlineStr">
        <is>
          <t>saveHS</t>
        </is>
      </c>
      <c r="D44" s="29" t="inlineStr">
        <is>
          <t>HocSinh</t>
        </is>
      </c>
      <c r="E44" s="29" t="inlineStr">
        <is>
          <t>HS030</t>
        </is>
      </c>
      <c r="F44" s="19"/>
      <c r="G44" s="29" t="s">
        <v>663</v>
      </c>
      <c r="H44" s="29" t="inlineStr">
        <is>
          <t>ok</t>
        </is>
      </c>
    </row>
    <row r="45" ht="22.5" customHeight="1">
      <c r="A45" s="35" t="s">
        <v>664</v>
      </c>
      <c r="B45" s="35" t="s">
        <v>495</v>
      </c>
      <c r="C45" s="35" t="inlineStr">
        <is>
          <t>saveHS</t>
        </is>
      </c>
      <c r="D45" s="35" t="inlineStr">
        <is>
          <t>HocSinh</t>
        </is>
      </c>
      <c r="E45" s="35" t="inlineStr">
        <is>
          <t>HS031</t>
        </is>
      </c>
      <c r="F45" s="15"/>
      <c r="G45" s="35" t="s">
        <v>665</v>
      </c>
      <c r="H45" s="35" t="inlineStr">
        <is>
          <t>ok</t>
        </is>
      </c>
    </row>
    <row r="46" ht="22.5" customHeight="1">
      <c r="A46" s="29" t="s">
        <v>666</v>
      </c>
      <c r="B46" s="29" t="s">
        <v>667</v>
      </c>
      <c r="C46" s="29" t="inlineStr">
        <is>
          <t>saveHS</t>
        </is>
      </c>
      <c r="D46" s="29" t="inlineStr">
        <is>
          <t>HocSinh</t>
        </is>
      </c>
      <c r="E46" s="29" t="inlineStr">
        <is>
          <t>HS032</t>
        </is>
      </c>
      <c r="F46" s="19"/>
      <c r="G46" s="29" t="s">
        <v>668</v>
      </c>
      <c r="H46" s="29" t="inlineStr">
        <is>
          <t>ok</t>
        </is>
      </c>
    </row>
    <row r="47" ht="22.5" customHeight="1">
      <c r="A47" s="35" t="s">
        <v>669</v>
      </c>
      <c r="B47" s="35" t="s">
        <v>670</v>
      </c>
      <c r="C47" s="35" t="inlineStr">
        <is>
          <t>saveClass</t>
        </is>
      </c>
      <c r="D47" s="35" t="inlineStr">
        <is>
          <t>LopHoc</t>
        </is>
      </c>
      <c r="E47" s="35" t="inlineStr">
        <is>
          <t>10A</t>
        </is>
      </c>
      <c r="F47" s="15"/>
      <c r="G47" s="35" t="s">
        <v>594</v>
      </c>
      <c r="H47" s="35" t="inlineStr">
        <is>
          <t>ok</t>
        </is>
      </c>
    </row>
    <row r="48" ht="22.5" customHeight="1">
      <c r="A48" s="29" t="s">
        <v>671</v>
      </c>
      <c r="B48" s="29" t="s">
        <v>347</v>
      </c>
      <c r="C48" s="29" t="inlineStr">
        <is>
          <t>updateHS</t>
        </is>
      </c>
      <c r="D48" s="29" t="inlineStr">
        <is>
          <t>HocSinh</t>
        </is>
      </c>
      <c r="E48" s="29" t="inlineStr">
        <is>
          <t>HS026</t>
        </is>
      </c>
      <c r="F48" s="19"/>
      <c r="G48" s="29" t="s">
        <v>672</v>
      </c>
      <c r="H48" s="29" t="inlineStr">
        <is>
          <t>ok</t>
        </is>
      </c>
    </row>
    <row r="49" ht="22.5" customHeight="1">
      <c r="A49" s="35" t="s">
        <v>673</v>
      </c>
      <c r="B49" s="35" t="s">
        <v>354</v>
      </c>
      <c r="C49" s="35" t="inlineStr">
        <is>
          <t>updateHS</t>
        </is>
      </c>
      <c r="D49" s="35" t="inlineStr">
        <is>
          <t>HocSinh</t>
        </is>
      </c>
      <c r="E49" s="35" t="inlineStr">
        <is>
          <t>HS027</t>
        </is>
      </c>
      <c r="F49" s="15"/>
      <c r="G49" s="35" t="s">
        <v>674</v>
      </c>
      <c r="H49" s="35" t="inlineStr">
        <is>
          <t>ok</t>
        </is>
      </c>
    </row>
    <row r="50" ht="22.5" customHeight="1">
      <c r="A50" s="29" t="s">
        <v>675</v>
      </c>
      <c r="B50" s="29" t="s">
        <v>362</v>
      </c>
      <c r="C50" s="29" t="inlineStr">
        <is>
          <t>updateHS</t>
        </is>
      </c>
      <c r="D50" s="29" t="inlineStr">
        <is>
          <t>HocSinh</t>
        </is>
      </c>
      <c r="E50" s="29" t="inlineStr">
        <is>
          <t>HS028</t>
        </is>
      </c>
      <c r="F50" s="19"/>
      <c r="G50" s="29" t="s">
        <v>676</v>
      </c>
      <c r="H50" s="29" t="inlineStr">
        <is>
          <t>ok</t>
        </is>
      </c>
    </row>
    <row r="51" ht="22.5" customHeight="1">
      <c r="A51" s="35" t="s">
        <v>677</v>
      </c>
      <c r="B51" s="35" t="s">
        <v>369</v>
      </c>
      <c r="C51" s="35" t="inlineStr">
        <is>
          <t>updateHS</t>
        </is>
      </c>
      <c r="D51" s="35" t="inlineStr">
        <is>
          <t>HocSinh</t>
        </is>
      </c>
      <c r="E51" s="35" t="inlineStr">
        <is>
          <t>HS029</t>
        </is>
      </c>
      <c r="F51" s="15"/>
      <c r="G51" s="35" t="s">
        <v>678</v>
      </c>
      <c r="H51" s="35" t="inlineStr">
        <is>
          <t>ok</t>
        </is>
      </c>
    </row>
    <row r="52" ht="22.5" customHeight="1">
      <c r="A52" s="29" t="s">
        <v>679</v>
      </c>
      <c r="B52" s="29" t="s">
        <v>680</v>
      </c>
      <c r="C52" s="29" t="inlineStr">
        <is>
          <t>updateHS</t>
        </is>
      </c>
      <c r="D52" s="29" t="inlineStr">
        <is>
          <t>HocSinh</t>
        </is>
      </c>
      <c r="E52" s="29" t="inlineStr">
        <is>
          <t>HS030</t>
        </is>
      </c>
      <c r="F52" s="19"/>
      <c r="G52" s="29" t="s">
        <v>681</v>
      </c>
      <c r="H52" s="29" t="inlineStr">
        <is>
          <t>ok</t>
        </is>
      </c>
    </row>
    <row r="53" ht="22.5" customHeight="1">
      <c r="A53" s="35" t="s">
        <v>682</v>
      </c>
      <c r="B53" s="35" t="s">
        <v>384</v>
      </c>
      <c r="C53" s="35" t="inlineStr">
        <is>
          <t>updateHS</t>
        </is>
      </c>
      <c r="D53" s="35" t="inlineStr">
        <is>
          <t>HocSinh</t>
        </is>
      </c>
      <c r="E53" s="35" t="inlineStr">
        <is>
          <t>HS031</t>
        </is>
      </c>
      <c r="F53" s="15"/>
      <c r="G53" s="35" t="s">
        <v>683</v>
      </c>
      <c r="H53" s="35" t="inlineStr">
        <is>
          <t>ok</t>
        </is>
      </c>
    </row>
    <row r="54" ht="22.5" customHeight="1">
      <c r="A54" s="29" t="s">
        <v>684</v>
      </c>
      <c r="B54" s="29" t="s">
        <v>685</v>
      </c>
      <c r="C54" s="29" t="inlineStr">
        <is>
          <t>updateHS</t>
        </is>
      </c>
      <c r="D54" s="29" t="inlineStr">
        <is>
          <t>HocSinh</t>
        </is>
      </c>
      <c r="E54" s="29" t="inlineStr">
        <is>
          <t>HS032</t>
        </is>
      </c>
      <c r="F54" s="19"/>
      <c r="G54" s="29" t="s">
        <v>686</v>
      </c>
      <c r="H54" s="29" t="inlineStr">
        <is>
          <t>ok</t>
        </is>
      </c>
    </row>
    <row r="55" ht="22.5" customHeight="1">
      <c r="A55" s="35" t="s">
        <v>687</v>
      </c>
      <c r="B55" s="35" t="s">
        <v>688</v>
      </c>
      <c r="C55" s="35" t="inlineStr">
        <is>
          <t>saveHS</t>
        </is>
      </c>
      <c r="D55" s="35" t="inlineStr">
        <is>
          <t>HocSinh</t>
        </is>
      </c>
      <c r="E55" s="35" t="inlineStr">
        <is>
          <t>HS033</t>
        </is>
      </c>
      <c r="F55" s="15"/>
      <c r="G55" s="35" t="s">
        <v>690</v>
      </c>
      <c r="H55" s="35" t="inlineStr">
        <is>
          <t>ok</t>
        </is>
      </c>
    </row>
    <row r="56" ht="22.5" customHeight="1">
      <c r="A56" s="29" t="s">
        <v>691</v>
      </c>
      <c r="B56" s="29" t="s">
        <v>692</v>
      </c>
      <c r="C56" s="29" t="inlineStr">
        <is>
          <t>updateHS</t>
        </is>
      </c>
      <c r="D56" s="29" t="inlineStr">
        <is>
          <t>HocSinh</t>
        </is>
      </c>
      <c r="E56" s="29" t="inlineStr">
        <is>
          <t>HS033</t>
        </is>
      </c>
      <c r="F56" s="19"/>
      <c r="G56" s="29" t="s">
        <v>693</v>
      </c>
      <c r="H56" s="29" t="inlineStr">
        <is>
          <t>ok</t>
        </is>
      </c>
    </row>
    <row r="57" ht="22.5" customHeight="1">
      <c r="A57" s="35" t="s">
        <v>694</v>
      </c>
      <c r="B57" s="35" t="s">
        <v>695</v>
      </c>
      <c r="C57" s="35" t="inlineStr">
        <is>
          <t>savePayment</t>
        </is>
      </c>
      <c r="D57" s="35" t="inlineStr">
        <is>
          <t>HocPhi</t>
        </is>
      </c>
      <c r="E57" s="35" t="inlineStr">
        <is>
          <t>PT-20260627-162649-HS033-T6-2026</t>
        </is>
      </c>
      <c r="F57" s="15"/>
      <c r="G57" s="35" t="s">
        <v>698</v>
      </c>
      <c r="H57" s="35" t="inlineStr">
        <is>
          <t>ok</t>
        </is>
      </c>
    </row>
    <row r="58" ht="22.5" customHeight="1">
      <c r="A58" s="29" t="s">
        <v>699</v>
      </c>
      <c r="B58" s="29" t="s">
        <v>700</v>
      </c>
      <c r="C58" s="29" t="inlineStr">
        <is>
          <t>saveExpense</t>
        </is>
      </c>
      <c r="D58" s="29" t="inlineStr">
        <is>
          <t>ChiPhi</t>
        </is>
      </c>
      <c r="E58" s="29" t="inlineStr">
        <is>
          <t>PC-20260627-162652</t>
        </is>
      </c>
      <c r="F58" s="19"/>
      <c r="G58" s="29" t="s">
        <v>703</v>
      </c>
      <c r="H58" s="29" t="inlineStr">
        <is>
          <t>ok</t>
        </is>
      </c>
    </row>
    <row r="59" ht="22.5" customHeight="1">
      <c r="A59" s="35" t="s">
        <v>704</v>
      </c>
      <c r="B59" s="35" t="s">
        <v>705</v>
      </c>
      <c r="C59" s="35" t="inlineStr">
        <is>
          <t>saveDiary</t>
        </is>
      </c>
      <c r="D59" s="35" t="inlineStr">
        <is>
          <t>BuoiHoc</t>
        </is>
      </c>
      <c r="E59" s="35" t="inlineStr">
        <is>
          <t>BH-20260630-10A-15H30</t>
        </is>
      </c>
      <c r="F59" s="15"/>
      <c r="G59" s="35" t="s">
        <v>708</v>
      </c>
      <c r="H59" s="35" t="inlineStr">
        <is>
          <t>ok</t>
        </is>
      </c>
    </row>
    <row r="60" ht="22.5" customHeight="1">
      <c r="A60" s="29" t="s">
        <v>709</v>
      </c>
      <c r="B60" s="29" t="s">
        <v>710</v>
      </c>
      <c r="C60" s="29" t="inlineStr">
        <is>
          <t>deleteDiary</t>
        </is>
      </c>
      <c r="D60" s="29" t="inlineStr">
        <is>
          <t>BuoiHoc</t>
        </is>
      </c>
      <c r="E60" s="29" t="inlineStr">
        <is>
          <t>BH-20260630-10A-15H30</t>
        </is>
      </c>
      <c r="F60" s="19"/>
      <c r="G60" s="29" t="s">
        <v>712</v>
      </c>
      <c r="H60" s="29" t="inlineStr">
        <is>
          <t>ok</t>
        </is>
      </c>
    </row>
    <row r="61" ht="22.5" customHeight="1">
      <c r="A61" s="35" t="s">
        <v>713</v>
      </c>
      <c r="B61" s="35" t="s">
        <v>714</v>
      </c>
      <c r="C61" s="35" t="inlineStr">
        <is>
          <t>deleteExpense</t>
        </is>
      </c>
      <c r="D61" s="35" t="inlineStr">
        <is>
          <t>ChiPhi</t>
        </is>
      </c>
      <c r="E61" s="35" t="inlineStr">
        <is>
          <t>PC-20260627-162652</t>
        </is>
      </c>
      <c r="F61" s="15"/>
      <c r="G61" s="35" t="s">
        <v>716</v>
      </c>
      <c r="H61" s="35" t="inlineStr">
        <is>
          <t>ok</t>
        </is>
      </c>
    </row>
    <row r="62" ht="22.5" customHeight="1">
      <c r="A62" s="29" t="s">
        <v>717</v>
      </c>
      <c r="B62" s="29" t="s">
        <v>718</v>
      </c>
      <c r="C62" s="29" t="inlineStr">
        <is>
          <t>deletePayment</t>
        </is>
      </c>
      <c r="D62" s="29" t="inlineStr">
        <is>
          <t>HocPhi</t>
        </is>
      </c>
      <c r="E62" s="29" t="inlineStr">
        <is>
          <t>PT-20260627-162649-HS033-T6-2026</t>
        </is>
      </c>
      <c r="F62" s="19"/>
      <c r="G62" s="29" t="s">
        <v>720</v>
      </c>
      <c r="H62" s="29" t="inlineStr">
        <is>
          <t>ok</t>
        </is>
      </c>
    </row>
    <row r="63" ht="22.5" customHeight="1">
      <c r="A63" s="35" t="s">
        <v>721</v>
      </c>
      <c r="B63" s="35" t="s">
        <v>722</v>
      </c>
      <c r="C63" s="35" t="inlineStr">
        <is>
          <t>deleteHS</t>
        </is>
      </c>
      <c r="D63" s="35" t="inlineStr">
        <is>
          <t>HocSinh</t>
        </is>
      </c>
      <c r="E63" s="35" t="inlineStr">
        <is>
          <t>HS033</t>
        </is>
      </c>
      <c r="F63" s="15"/>
      <c r="G63" s="35" t="s">
        <v>649</v>
      </c>
      <c r="H63" s="35" t="inlineStr">
        <is>
          <t>ok</t>
        </is>
      </c>
    </row>
    <row r="64" ht="22.5" customHeight="1">
      <c r="A64" s="29" t="s">
        <v>723</v>
      </c>
      <c r="B64" s="29" t="s">
        <v>724</v>
      </c>
      <c r="C64" s="29" t="inlineStr">
        <is>
          <t>updateHS</t>
        </is>
      </c>
      <c r="D64" s="29" t="inlineStr">
        <is>
          <t>HocSinh</t>
        </is>
      </c>
      <c r="E64" s="29" t="inlineStr">
        <is>
          <t>HS007</t>
        </is>
      </c>
      <c r="F64" s="19"/>
      <c r="G64" s="29" t="s">
        <v>725</v>
      </c>
      <c r="H64" s="29" t="inlineStr">
        <is>
          <t>ok</t>
        </is>
      </c>
    </row>
    <row r="65" ht="22.5" customHeight="1">
      <c r="A65" s="35" t="s">
        <v>726</v>
      </c>
      <c r="B65" s="35" t="s">
        <v>727</v>
      </c>
      <c r="C65" s="35" t="inlineStr">
        <is>
          <t>updateHS</t>
        </is>
      </c>
      <c r="D65" s="35" t="inlineStr">
        <is>
          <t>HocSinh</t>
        </is>
      </c>
      <c r="E65" s="35" t="inlineStr">
        <is>
          <t>HS008</t>
        </is>
      </c>
      <c r="F65" s="15"/>
      <c r="G65" s="35" t="s">
        <v>728</v>
      </c>
      <c r="H65" s="35" t="inlineStr">
        <is>
          <t>ok</t>
        </is>
      </c>
    </row>
    <row r="66" ht="22.5" customHeight="1">
      <c r="A66" s="29" t="s">
        <v>729</v>
      </c>
      <c r="B66" s="29" t="s">
        <v>730</v>
      </c>
      <c r="C66" s="29" t="inlineStr">
        <is>
          <t>updateHS</t>
        </is>
      </c>
      <c r="D66" s="29" t="inlineStr">
        <is>
          <t>HocSinh</t>
        </is>
      </c>
      <c r="E66" s="29" t="inlineStr">
        <is>
          <t>HS009</t>
        </is>
      </c>
      <c r="F66" s="19"/>
      <c r="G66" s="29" t="s">
        <v>731</v>
      </c>
      <c r="H66" s="29" t="inlineStr">
        <is>
          <t>ok</t>
        </is>
      </c>
    </row>
    <row r="67" ht="22.5" customHeight="1">
      <c r="A67" s="35" t="s">
        <v>732</v>
      </c>
      <c r="B67" s="35" t="s">
        <v>733</v>
      </c>
      <c r="C67" s="35" t="inlineStr">
        <is>
          <t>updateHS</t>
        </is>
      </c>
      <c r="D67" s="35" t="inlineStr">
        <is>
          <t>HocSinh</t>
        </is>
      </c>
      <c r="E67" s="35" t="inlineStr">
        <is>
          <t>HS010</t>
        </is>
      </c>
      <c r="F67" s="15"/>
      <c r="G67" s="35" t="s">
        <v>734</v>
      </c>
      <c r="H67" s="35" t="inlineStr">
        <is>
          <t>ok</t>
        </is>
      </c>
    </row>
    <row r="68" ht="22.5" customHeight="1">
      <c r="A68" s="29" t="s">
        <v>735</v>
      </c>
      <c r="B68" s="29" t="s">
        <v>736</v>
      </c>
      <c r="C68" s="29" t="inlineStr">
        <is>
          <t>updateHS</t>
        </is>
      </c>
      <c r="D68" s="29" t="inlineStr">
        <is>
          <t>HocSinh</t>
        </is>
      </c>
      <c r="E68" s="29" t="inlineStr">
        <is>
          <t>HS011</t>
        </is>
      </c>
      <c r="F68" s="19"/>
      <c r="G68" s="29" t="s">
        <v>737</v>
      </c>
      <c r="H68" s="29" t="inlineStr">
        <is>
          <t>ok</t>
        </is>
      </c>
    </row>
    <row r="69" ht="22.5" customHeight="1">
      <c r="A69" s="35" t="s">
        <v>738</v>
      </c>
      <c r="B69" s="35" t="s">
        <v>233</v>
      </c>
      <c r="C69" s="35" t="inlineStr">
        <is>
          <t>updateHS</t>
        </is>
      </c>
      <c r="D69" s="35" t="inlineStr">
        <is>
          <t>HocSinh</t>
        </is>
      </c>
      <c r="E69" s="35" t="inlineStr">
        <is>
          <t>HS012</t>
        </is>
      </c>
      <c r="F69" s="15"/>
      <c r="G69" s="35" t="s">
        <v>739</v>
      </c>
      <c r="H69" s="35" t="inlineStr">
        <is>
          <t>ok</t>
        </is>
      </c>
    </row>
    <row r="70" ht="22.5" customHeight="1">
      <c r="A70" s="29" t="s">
        <v>740</v>
      </c>
      <c r="B70" s="29" t="s">
        <v>240</v>
      </c>
      <c r="C70" s="29" t="inlineStr">
        <is>
          <t>updateHS</t>
        </is>
      </c>
      <c r="D70" s="29" t="inlineStr">
        <is>
          <t>HocSinh</t>
        </is>
      </c>
      <c r="E70" s="29" t="inlineStr">
        <is>
          <t>HS013</t>
        </is>
      </c>
      <c r="F70" s="19"/>
      <c r="G70" s="29" t="s">
        <v>741</v>
      </c>
      <c r="H70" s="29" t="inlineStr">
        <is>
          <t>ok</t>
        </is>
      </c>
    </row>
    <row r="71" ht="22.5" customHeight="1">
      <c r="A71" s="35" t="s">
        <v>742</v>
      </c>
      <c r="B71" s="35" t="s">
        <v>743</v>
      </c>
      <c r="C71" s="35" t="inlineStr">
        <is>
          <t>updateHS</t>
        </is>
      </c>
      <c r="D71" s="35" t="inlineStr">
        <is>
          <t>HocSinh</t>
        </is>
      </c>
      <c r="E71" s="35" t="inlineStr">
        <is>
          <t>HS014</t>
        </is>
      </c>
      <c r="F71" s="15"/>
      <c r="G71" s="35" t="s">
        <v>744</v>
      </c>
      <c r="H71" s="35" t="inlineStr">
        <is>
          <t>ok</t>
        </is>
      </c>
    </row>
    <row r="72" ht="22.5" customHeight="1">
      <c r="A72" s="29" t="s">
        <v>745</v>
      </c>
      <c r="B72" s="29" t="s">
        <v>746</v>
      </c>
      <c r="C72" s="29" t="inlineStr">
        <is>
          <t>updateHS</t>
        </is>
      </c>
      <c r="D72" s="29" t="inlineStr">
        <is>
          <t>HocSinh</t>
        </is>
      </c>
      <c r="E72" s="29" t="inlineStr">
        <is>
          <t>HS015</t>
        </is>
      </c>
      <c r="F72" s="19"/>
      <c r="G72" s="29" t="s">
        <v>747</v>
      </c>
      <c r="H72" s="29" t="inlineStr">
        <is>
          <t>ok</t>
        </is>
      </c>
    </row>
    <row r="73" ht="22.5" customHeight="1">
      <c r="A73" s="35" t="s">
        <v>748</v>
      </c>
      <c r="B73" s="35" t="s">
        <v>749</v>
      </c>
      <c r="C73" s="35" t="inlineStr">
        <is>
          <t>updateHS</t>
        </is>
      </c>
      <c r="D73" s="35" t="inlineStr">
        <is>
          <t>HocSinh</t>
        </is>
      </c>
      <c r="E73" s="35" t="inlineStr">
        <is>
          <t>HS016</t>
        </is>
      </c>
      <c r="F73" s="15"/>
      <c r="G73" s="35" t="s">
        <v>750</v>
      </c>
      <c r="H73" s="35" t="inlineStr">
        <is>
          <t>ok</t>
        </is>
      </c>
    </row>
    <row r="74" ht="22.5" customHeight="1">
      <c r="A74" s="29" t="s">
        <v>751</v>
      </c>
      <c r="B74" s="29" t="s">
        <v>277</v>
      </c>
      <c r="C74" s="29" t="inlineStr">
        <is>
          <t>updateHS</t>
        </is>
      </c>
      <c r="D74" s="29" t="inlineStr">
        <is>
          <t>HocSinh</t>
        </is>
      </c>
      <c r="E74" s="29" t="inlineStr">
        <is>
          <t>HS017</t>
        </is>
      </c>
      <c r="F74" s="19"/>
      <c r="G74" s="29" t="s">
        <v>752</v>
      </c>
      <c r="H74" s="29" t="inlineStr">
        <is>
          <t>ok</t>
        </is>
      </c>
    </row>
    <row r="75" ht="22.5" customHeight="1">
      <c r="A75" s="35" t="s">
        <v>753</v>
      </c>
      <c r="B75" s="35" t="s">
        <v>285</v>
      </c>
      <c r="C75" s="35" t="inlineStr">
        <is>
          <t>updateHS</t>
        </is>
      </c>
      <c r="D75" s="35" t="inlineStr">
        <is>
          <t>HocSinh</t>
        </is>
      </c>
      <c r="E75" s="35" t="inlineStr">
        <is>
          <t>HS018</t>
        </is>
      </c>
      <c r="F75" s="15"/>
      <c r="G75" s="35" t="s">
        <v>754</v>
      </c>
      <c r="H75" s="35" t="inlineStr">
        <is>
          <t>ok</t>
        </is>
      </c>
    </row>
    <row r="76" ht="22.5" customHeight="1">
      <c r="A76" s="29" t="s">
        <v>755</v>
      </c>
      <c r="B76" s="29" t="s">
        <v>756</v>
      </c>
      <c r="C76" s="29" t="inlineStr">
        <is>
          <t>updateHS</t>
        </is>
      </c>
      <c r="D76" s="29" t="inlineStr">
        <is>
          <t>HocSinh</t>
        </is>
      </c>
      <c r="E76" s="29" t="inlineStr">
        <is>
          <t>HS019</t>
        </is>
      </c>
      <c r="F76" s="19"/>
      <c r="G76" s="29" t="s">
        <v>757</v>
      </c>
      <c r="H76" s="29" t="inlineStr">
        <is>
          <t>ok</t>
        </is>
      </c>
    </row>
    <row r="77" ht="22.5" customHeight="1">
      <c r="A77" s="35" t="s">
        <v>758</v>
      </c>
      <c r="B77" s="35" t="s">
        <v>303</v>
      </c>
      <c r="C77" s="35" t="inlineStr">
        <is>
          <t>updateHS</t>
        </is>
      </c>
      <c r="D77" s="35" t="inlineStr">
        <is>
          <t>HocSinh</t>
        </is>
      </c>
      <c r="E77" s="35" t="inlineStr">
        <is>
          <t>HS020</t>
        </is>
      </c>
      <c r="F77" s="15"/>
      <c r="G77" s="35" t="s">
        <v>759</v>
      </c>
      <c r="H77" s="35" t="inlineStr">
        <is>
          <t>ok</t>
        </is>
      </c>
    </row>
    <row r="78" ht="22.5" customHeight="1">
      <c r="A78" s="29" t="s">
        <v>760</v>
      </c>
      <c r="B78" s="29" t="s">
        <v>310</v>
      </c>
      <c r="C78" s="29" t="inlineStr">
        <is>
          <t>updateHS</t>
        </is>
      </c>
      <c r="D78" s="29" t="inlineStr">
        <is>
          <t>HocSinh</t>
        </is>
      </c>
      <c r="E78" s="29" t="inlineStr">
        <is>
          <t>HS021</t>
        </is>
      </c>
      <c r="F78" s="19"/>
      <c r="G78" s="29" t="s">
        <v>761</v>
      </c>
      <c r="H78" s="29" t="inlineStr">
        <is>
          <t>ok</t>
        </is>
      </c>
    </row>
    <row r="79" ht="22.5" customHeight="1">
      <c r="A79" s="35" t="s">
        <v>762</v>
      </c>
      <c r="B79" s="35" t="s">
        <v>763</v>
      </c>
      <c r="C79" s="35" t="inlineStr">
        <is>
          <t>updateHS</t>
        </is>
      </c>
      <c r="D79" s="35" t="inlineStr">
        <is>
          <t>HocSinh</t>
        </is>
      </c>
      <c r="E79" s="35" t="inlineStr">
        <is>
          <t>HS022</t>
        </is>
      </c>
      <c r="F79" s="15"/>
      <c r="G79" s="35" t="s">
        <v>764</v>
      </c>
      <c r="H79" s="35" t="inlineStr">
        <is>
          <t>ok</t>
        </is>
      </c>
    </row>
    <row r="80" ht="22.5" customHeight="1">
      <c r="A80" s="29" t="s">
        <v>765</v>
      </c>
      <c r="B80" s="29" t="s">
        <v>766</v>
      </c>
      <c r="C80" s="29" t="inlineStr">
        <is>
          <t>updateHS</t>
        </is>
      </c>
      <c r="D80" s="29" t="inlineStr">
        <is>
          <t>HocSinh</t>
        </is>
      </c>
      <c r="E80" s="29" t="inlineStr">
        <is>
          <t>HS023</t>
        </is>
      </c>
      <c r="F80" s="19"/>
      <c r="G80" s="29" t="s">
        <v>767</v>
      </c>
      <c r="H80" s="29" t="inlineStr">
        <is>
          <t>ok</t>
        </is>
      </c>
    </row>
    <row r="81" ht="22.5" customHeight="1">
      <c r="A81" s="35" t="s">
        <v>768</v>
      </c>
      <c r="B81" s="35" t="s">
        <v>331</v>
      </c>
      <c r="C81" s="35" t="inlineStr">
        <is>
          <t>updateHS</t>
        </is>
      </c>
      <c r="D81" s="35" t="inlineStr">
        <is>
          <t>HocSinh</t>
        </is>
      </c>
      <c r="E81" s="35" t="inlineStr">
        <is>
          <t>HS024</t>
        </is>
      </c>
      <c r="F81" s="15"/>
      <c r="G81" s="35" t="s">
        <v>769</v>
      </c>
      <c r="H81" s="35" t="inlineStr">
        <is>
          <t>ok</t>
        </is>
      </c>
    </row>
    <row r="82" ht="22.5" customHeight="1">
      <c r="A82" s="29" t="s">
        <v>770</v>
      </c>
      <c r="B82" s="29" t="s">
        <v>771</v>
      </c>
      <c r="C82" s="29" t="inlineStr">
        <is>
          <t>updateHS</t>
        </is>
      </c>
      <c r="D82" s="29" t="inlineStr">
        <is>
          <t>HocSinh</t>
        </is>
      </c>
      <c r="E82" s="29" t="inlineStr">
        <is>
          <t>HS025</t>
        </is>
      </c>
      <c r="F82" s="19"/>
      <c r="G82" s="29" t="s">
        <v>772</v>
      </c>
      <c r="H82" s="29" t="inlineStr">
        <is>
          <t>ok</t>
        </is>
      </c>
    </row>
    <row r="83" ht="22.5" customHeight="1">
      <c r="A83" s="35" t="s">
        <v>773</v>
      </c>
      <c r="B83" s="35" t="s">
        <v>774</v>
      </c>
      <c r="C83" s="35" t="inlineStr">
        <is>
          <t>deleteClass</t>
        </is>
      </c>
      <c r="D83" s="35" t="inlineStr">
        <is>
          <t>LopHoc</t>
        </is>
      </c>
      <c r="E83" s="35" t="inlineStr">
        <is>
          <t>10A</t>
        </is>
      </c>
      <c r="F83" s="15"/>
      <c r="G83" s="35" t="s">
        <v>776</v>
      </c>
      <c r="H83" s="35" t="inlineStr">
        <is>
          <t>ok</t>
        </is>
      </c>
    </row>
    <row r="84" ht="22.5" customHeight="1">
      <c r="A84" s="29" t="s">
        <v>777</v>
      </c>
      <c r="B84" s="29" t="s">
        <v>778</v>
      </c>
      <c r="C84" s="29" t="inlineStr">
        <is>
          <t>deleteClass</t>
        </is>
      </c>
      <c r="D84" s="29" t="inlineStr">
        <is>
          <t>LopHoc</t>
        </is>
      </c>
      <c r="E84" s="29" t="inlineStr">
        <is>
          <t>10A</t>
        </is>
      </c>
      <c r="F84" s="19"/>
      <c r="G84" s="29" t="s">
        <v>776</v>
      </c>
      <c r="H84" s="29" t="inlineStr">
        <is>
          <t>ok</t>
        </is>
      </c>
    </row>
    <row r="85" ht="22.5" customHeight="1">
      <c r="A85" s="35" t="s">
        <v>779</v>
      </c>
      <c r="B85" s="35" t="s">
        <v>780</v>
      </c>
      <c r="C85" s="35" t="inlineStr">
        <is>
          <t>deleteClass</t>
        </is>
      </c>
      <c r="D85" s="35" t="inlineStr">
        <is>
          <t>LopHoc</t>
        </is>
      </c>
      <c r="E85" s="35" t="inlineStr">
        <is>
          <t>K12</t>
        </is>
      </c>
      <c r="F85" s="15"/>
      <c r="G85" s="35" t="s">
        <v>776</v>
      </c>
      <c r="H85" s="35" t="inlineStr">
        <is>
          <t>ok</t>
        </is>
      </c>
    </row>
    <row r="86" ht="22.5" customHeight="1">
      <c r="A86" s="29" t="s">
        <v>781</v>
      </c>
      <c r="B86" s="29" t="s">
        <v>436</v>
      </c>
      <c r="C86" s="29" t="inlineStr">
        <is>
          <t>updateClass</t>
        </is>
      </c>
      <c r="D86" s="29" t="inlineStr">
        <is>
          <t>LopHoc</t>
        </is>
      </c>
      <c r="E86" s="29" t="inlineStr">
        <is>
          <t>10A</t>
        </is>
      </c>
      <c r="F86" s="19"/>
      <c r="G86" s="29" t="s">
        <v>783</v>
      </c>
      <c r="H86" s="29" t="inlineStr">
        <is>
          <t>ok</t>
        </is>
      </c>
    </row>
    <row r="87" ht="22.5" customHeight="1">
      <c r="A87" s="35" t="s">
        <v>784</v>
      </c>
      <c r="B87" s="35" t="s">
        <v>513</v>
      </c>
      <c r="C87" s="35" t="inlineStr">
        <is>
          <t>saveDiary</t>
        </is>
      </c>
      <c r="D87" s="35" t="inlineStr">
        <is>
          <t>BuoiHoc</t>
        </is>
      </c>
      <c r="E87" s="35" t="inlineStr">
        <is>
          <t>BH-20260623-6A-7H30</t>
        </is>
      </c>
      <c r="F87" s="15"/>
      <c r="G87" s="35" t="s">
        <v>708</v>
      </c>
      <c r="H87" s="35" t="inlineStr">
        <is>
          <t>ok</t>
        </is>
      </c>
    </row>
    <row r="88" ht="22.5" customHeight="1">
      <c r="A88" s="29" t="s">
        <v>785</v>
      </c>
      <c r="B88" s="29" t="s">
        <v>786</v>
      </c>
      <c r="C88" s="29" t="inlineStr">
        <is>
          <t>saveDiary</t>
        </is>
      </c>
      <c r="D88" s="29" t="inlineStr">
        <is>
          <t>BuoiHoc</t>
        </is>
      </c>
      <c r="E88" s="29" t="inlineStr">
        <is>
          <t>BH-20260627-6A-7H30</t>
        </is>
      </c>
      <c r="F88" s="19"/>
      <c r="G88" s="29" t="s">
        <v>708</v>
      </c>
      <c r="H88" s="29" t="inlineStr">
        <is>
          <t>ok</t>
        </is>
      </c>
    </row>
    <row r="89" ht="22.5" customHeight="1">
      <c r="A89" s="35" t="s">
        <v>787</v>
      </c>
      <c r="B89" s="35" t="s">
        <v>524</v>
      </c>
      <c r="C89" s="35" t="inlineStr">
        <is>
          <t>saveDiary</t>
        </is>
      </c>
      <c r="D89" s="35" t="inlineStr">
        <is>
          <t>BuoiHoc</t>
        </is>
      </c>
      <c r="E89" s="35" t="inlineStr">
        <is>
          <t>BH-20260627-10A-15H30</t>
        </is>
      </c>
      <c r="F89" s="15"/>
      <c r="G89" s="35" t="s">
        <v>708</v>
      </c>
      <c r="H89" s="35" t="inlineStr">
        <is>
          <t>ok</t>
        </is>
      </c>
    </row>
    <row r="90" ht="22.5" customHeight="1">
      <c r="A90" s="29" t="s">
        <v>788</v>
      </c>
      <c r="B90" s="29" t="s">
        <v>789</v>
      </c>
      <c r="C90" s="29" t="inlineStr">
        <is>
          <t>savePayment</t>
        </is>
      </c>
      <c r="D90" s="29" t="inlineStr">
        <is>
          <t>HocPhi</t>
        </is>
      </c>
      <c r="E90" s="29" t="inlineStr">
        <is>
          <t>PT-260628-HS019-5X6W</t>
        </is>
      </c>
      <c r="F90" s="19"/>
      <c r="G90" s="29" t="s">
        <v>698</v>
      </c>
      <c r="H90" s="29" t="inlineStr">
        <is>
          <t>ok</t>
        </is>
      </c>
    </row>
    <row r="91" ht="22.5" customHeight="1">
      <c r="A91" s="35" t="s">
        <v>790</v>
      </c>
      <c r="B91" s="35" t="s">
        <v>791</v>
      </c>
      <c r="C91" s="35" t="inlineStr">
        <is>
          <t>updateHS</t>
        </is>
      </c>
      <c r="D91" s="35" t="inlineStr">
        <is>
          <t>HocSinh</t>
        </is>
      </c>
      <c r="E91" s="35" t="inlineStr">
        <is>
          <t>HS002</t>
        </is>
      </c>
      <c r="F91" s="15"/>
      <c r="G91" s="35" t="s">
        <v>635</v>
      </c>
      <c r="H91" s="35" t="inlineStr">
        <is>
          <t>ok</t>
        </is>
      </c>
    </row>
    <row r="92" ht="22.5" customHeight="1">
      <c r="A92" s="29" t="s">
        <v>792</v>
      </c>
      <c r="B92" s="29" t="s">
        <v>793</v>
      </c>
      <c r="C92" s="29" t="inlineStr">
        <is>
          <t>updateTeacher</t>
        </is>
      </c>
      <c r="D92" s="29" t="inlineStr">
        <is>
          <t>GiaoVien</t>
        </is>
      </c>
      <c r="E92" s="29" t="inlineStr">
        <is>
          <t>GV0001</t>
        </is>
      </c>
      <c r="F92" s="19"/>
      <c r="G92" s="29" t="s">
        <v>795</v>
      </c>
      <c r="H92" s="29" t="inlineStr">
        <is>
          <t>ok</t>
        </is>
      </c>
    </row>
    <row r="93" ht="22.5" customHeight="1">
      <c r="A93" s="35" t="s">
        <v>796</v>
      </c>
      <c r="B93" s="35" t="s">
        <v>428</v>
      </c>
      <c r="C93" s="35" t="inlineStr">
        <is>
          <t>updateClass</t>
        </is>
      </c>
      <c r="D93" s="35" t="inlineStr">
        <is>
          <t>LopHoc</t>
        </is>
      </c>
      <c r="E93" s="35" t="inlineStr">
        <is>
          <t>6A</t>
        </is>
      </c>
      <c r="F93" s="15"/>
      <c r="G93" s="35" t="s">
        <v>797</v>
      </c>
      <c r="H93" s="35" t="inlineStr">
        <is>
          <t>ok</t>
        </is>
      </c>
    </row>
    <row r="94" ht="22.5" customHeight="1">
      <c r="A94" s="29" t="s">
        <v>798</v>
      </c>
      <c r="B94" s="29" t="s">
        <v>155</v>
      </c>
      <c r="C94" s="29" t="inlineStr">
        <is>
          <t>updateHS</t>
        </is>
      </c>
      <c r="D94" s="29" t="inlineStr">
        <is>
          <t>HocSinh</t>
        </is>
      </c>
      <c r="E94" s="29" t="inlineStr">
        <is>
          <t>HS002</t>
        </is>
      </c>
      <c r="F94" s="19"/>
      <c r="G94" s="29" t="s">
        <v>635</v>
      </c>
      <c r="H94" s="29" t="inlineStr">
        <is>
          <t>ok</t>
        </is>
      </c>
    </row>
    <row r="95" ht="22.5" customHeight="1">
      <c r="A95" s="35" t="s">
        <v>799</v>
      </c>
      <c r="B95" s="35" t="s">
        <v>800</v>
      </c>
      <c r="C95" s="35" t="inlineStr">
        <is>
          <t>updateTeacher</t>
        </is>
      </c>
      <c r="D95" s="35" t="inlineStr">
        <is>
          <t>GiaoVien</t>
        </is>
      </c>
      <c r="E95" s="35" t="inlineStr">
        <is>
          <t>GV0001</t>
        </is>
      </c>
      <c r="F95" s="15"/>
      <c r="G95" s="35" t="s">
        <v>795</v>
      </c>
      <c r="H95" s="35" t="inlineStr">
        <is>
          <t>ok</t>
        </is>
      </c>
    </row>
    <row r="96" ht="15.75" customHeight="1">
      <c r="A96" s="67" t="s">
        <v>801</v>
      </c>
      <c r="B96" s="67" t="s">
        <v>802</v>
      </c>
      <c r="C96" s="67" t="inlineStr">
        <is>
          <t>updateHS</t>
        </is>
      </c>
      <c r="D96" s="67" t="inlineStr">
        <is>
          <t>HocSinh</t>
        </is>
      </c>
      <c r="E96" s="67" t="inlineStr">
        <is>
          <t>HS005</t>
        </is>
      </c>
      <c r="F96" s="23"/>
      <c r="G96" s="67" t="s">
        <v>642</v>
      </c>
      <c r="H96" s="67" t="inlineStr">
        <is>
          <t>ok</t>
        </is>
      </c>
    </row>
    <row r="97" ht="15.75" customHeight="1">
      <c r="A97" s="25"/>
      <c r="B97" s="43"/>
      <c r="C97" s="25"/>
      <c r="D97" s="25"/>
      <c r="E97" s="25"/>
      <c r="F97" s="25"/>
      <c r="G97" s="25"/>
      <c r="H97" s="25"/>
    </row>
    <row r="98" ht="15.75" customHeight="1">
      <c r="A98" s="23"/>
      <c r="B98" s="45"/>
      <c r="C98" s="23"/>
      <c r="D98" s="23"/>
      <c r="E98" s="23"/>
      <c r="F98" s="23"/>
      <c r="G98" s="23"/>
      <c r="H98" s="23"/>
    </row>
    <row r="99" ht="15.75" customHeight="1">
      <c r="A99" s="25"/>
      <c r="B99" s="43"/>
      <c r="C99" s="25"/>
      <c r="D99" s="25"/>
      <c r="E99" s="25"/>
      <c r="F99" s="25"/>
      <c r="G99" s="25"/>
      <c r="H99" s="25"/>
    </row>
    <row r="100" ht="15.75" customHeight="1">
      <c r="A100" s="23"/>
      <c r="B100" s="45"/>
      <c r="C100" s="23"/>
      <c r="D100" s="23"/>
      <c r="E100" s="23"/>
      <c r="F100" s="23"/>
      <c r="G100" s="23"/>
      <c r="H100" s="23"/>
    </row>
    <row r="101" ht="15.75" customHeight="1">
      <c r="A101" s="25"/>
      <c r="B101" s="43"/>
      <c r="C101" s="25"/>
      <c r="D101" s="25"/>
      <c r="E101" s="25"/>
      <c r="F101" s="25"/>
      <c r="G101" s="25"/>
      <c r="H101" s="25"/>
    </row>
    <row r="102" ht="15.75" customHeight="1">
      <c r="A102" s="23"/>
      <c r="B102" s="45"/>
      <c r="C102" s="23"/>
      <c r="D102" s="23"/>
      <c r="E102" s="23"/>
      <c r="F102" s="23"/>
      <c r="G102" s="23"/>
      <c r="H102" s="23"/>
    </row>
    <row r="103" ht="15.75" customHeight="1">
      <c r="A103" s="25"/>
      <c r="B103" s="43"/>
      <c r="C103" s="25"/>
      <c r="D103" s="25"/>
      <c r="E103" s="25"/>
      <c r="F103" s="25"/>
      <c r="G103" s="25"/>
      <c r="H103" s="25"/>
    </row>
    <row r="104" ht="15.75" customHeight="1">
      <c r="A104" s="23"/>
      <c r="B104" s="45"/>
      <c r="C104" s="23"/>
      <c r="D104" s="23"/>
      <c r="E104" s="23"/>
      <c r="F104" s="23"/>
      <c r="G104" s="23"/>
      <c r="H104" s="23"/>
    </row>
    <row r="105" ht="15.75" customHeight="1">
      <c r="A105" s="25"/>
      <c r="B105" s="43"/>
      <c r="C105" s="25"/>
      <c r="D105" s="25"/>
      <c r="E105" s="25"/>
      <c r="F105" s="25"/>
      <c r="G105" s="25"/>
      <c r="H105" s="25"/>
    </row>
    <row r="106" ht="15.75" customHeight="1">
      <c r="A106" s="23"/>
      <c r="B106" s="45"/>
      <c r="C106" s="23"/>
      <c r="D106" s="23"/>
      <c r="E106" s="23"/>
      <c r="F106" s="23"/>
      <c r="G106" s="23"/>
      <c r="H106" s="23"/>
    </row>
    <row r="107" ht="15.75" customHeight="1">
      <c r="A107" s="25"/>
      <c r="B107" s="43"/>
      <c r="C107" s="25"/>
      <c r="D107" s="25"/>
      <c r="E107" s="25"/>
      <c r="F107" s="25"/>
      <c r="G107" s="25"/>
      <c r="H107" s="25"/>
    </row>
    <row r="108" ht="15.75" customHeight="1">
      <c r="A108" s="23"/>
      <c r="B108" s="45"/>
      <c r="C108" s="23"/>
      <c r="D108" s="23"/>
      <c r="E108" s="23"/>
      <c r="F108" s="23"/>
      <c r="G108" s="23"/>
      <c r="H108" s="23"/>
    </row>
    <row r="109" ht="15.75" customHeight="1">
      <c r="A109" s="25"/>
      <c r="B109" s="43"/>
      <c r="C109" s="25"/>
      <c r="D109" s="25"/>
      <c r="E109" s="25"/>
      <c r="F109" s="25"/>
      <c r="G109" s="25"/>
      <c r="H109" s="25"/>
    </row>
    <row r="110" ht="15.75" customHeight="1">
      <c r="A110" s="23"/>
      <c r="B110" s="45"/>
      <c r="C110" s="23"/>
      <c r="D110" s="23"/>
      <c r="E110" s="23"/>
      <c r="F110" s="23"/>
      <c r="G110" s="23"/>
      <c r="H110" s="23"/>
    </row>
    <row r="111" ht="15.75" customHeight="1">
      <c r="A111" s="25"/>
      <c r="B111" s="43"/>
      <c r="C111" s="25"/>
      <c r="D111" s="25"/>
      <c r="E111" s="25"/>
      <c r="F111" s="25"/>
      <c r="G111" s="25"/>
      <c r="H111" s="25"/>
    </row>
    <row r="112" ht="15.75" customHeight="1">
      <c r="A112" s="23"/>
      <c r="B112" s="45"/>
      <c r="C112" s="23"/>
      <c r="D112" s="23"/>
      <c r="E112" s="23"/>
      <c r="F112" s="23"/>
      <c r="G112" s="23"/>
      <c r="H112" s="23"/>
    </row>
    <row r="113" ht="15.75" customHeight="1">
      <c r="A113" s="25"/>
      <c r="B113" s="43"/>
      <c r="C113" s="25"/>
      <c r="D113" s="25"/>
      <c r="E113" s="25"/>
      <c r="F113" s="25"/>
      <c r="G113" s="25"/>
      <c r="H113" s="25"/>
    </row>
    <row r="114" ht="15.75" customHeight="1">
      <c r="A114" s="23"/>
      <c r="B114" s="45"/>
      <c r="C114" s="23"/>
      <c r="D114" s="23"/>
      <c r="E114" s="23"/>
      <c r="F114" s="23"/>
      <c r="G114" s="23"/>
      <c r="H114" s="23"/>
    </row>
    <row r="115" ht="15.75" customHeight="1">
      <c r="A115" s="25"/>
      <c r="B115" s="43"/>
      <c r="C115" s="25"/>
      <c r="D115" s="25"/>
      <c r="E115" s="25"/>
      <c r="F115" s="25"/>
      <c r="G115" s="25"/>
      <c r="H115" s="25"/>
    </row>
    <row r="116" ht="15.75" customHeight="1">
      <c r="A116" s="23"/>
      <c r="B116" s="45"/>
      <c r="C116" s="23"/>
      <c r="D116" s="23"/>
      <c r="E116" s="23"/>
      <c r="F116" s="23"/>
      <c r="G116" s="23"/>
      <c r="H116" s="23"/>
    </row>
    <row r="117" ht="15.75" customHeight="1">
      <c r="A117" s="25"/>
      <c r="B117" s="43"/>
      <c r="C117" s="25"/>
      <c r="D117" s="25"/>
      <c r="E117" s="25"/>
      <c r="F117" s="25"/>
      <c r="G117" s="25"/>
      <c r="H117" s="25"/>
    </row>
    <row r="118" ht="15.75" customHeight="1">
      <c r="A118" s="23"/>
      <c r="B118" s="45"/>
      <c r="C118" s="23"/>
      <c r="D118" s="23"/>
      <c r="E118" s="23"/>
      <c r="F118" s="23"/>
      <c r="G118" s="23"/>
      <c r="H118" s="23"/>
    </row>
    <row r="119" ht="15.75" customHeight="1">
      <c r="A119" s="25"/>
      <c r="B119" s="43"/>
      <c r="C119" s="25"/>
      <c r="D119" s="25"/>
      <c r="E119" s="25"/>
      <c r="F119" s="25"/>
      <c r="G119" s="25"/>
      <c r="H119" s="25"/>
    </row>
    <row r="120" ht="15.75" customHeight="1">
      <c r="A120" s="23"/>
      <c r="B120" s="45"/>
      <c r="C120" s="23"/>
      <c r="D120" s="23"/>
      <c r="E120" s="23"/>
      <c r="F120" s="23"/>
      <c r="G120" s="23"/>
      <c r="H120" s="23"/>
    </row>
    <row r="121" ht="15.75" customHeight="1">
      <c r="A121" s="25"/>
      <c r="B121" s="43"/>
      <c r="C121" s="25"/>
      <c r="D121" s="25"/>
      <c r="E121" s="25"/>
      <c r="F121" s="25"/>
      <c r="G121" s="25"/>
      <c r="H121" s="25"/>
    </row>
    <row r="122" ht="15.75" customHeight="1">
      <c r="A122" s="23"/>
      <c r="B122" s="45"/>
      <c r="C122" s="23"/>
      <c r="D122" s="23"/>
      <c r="E122" s="23"/>
      <c r="F122" s="23"/>
      <c r="G122" s="23"/>
      <c r="H122" s="23"/>
    </row>
    <row r="123" ht="15.75" customHeight="1">
      <c r="A123" s="25"/>
      <c r="B123" s="43"/>
      <c r="C123" s="25"/>
      <c r="D123" s="25"/>
      <c r="E123" s="25"/>
      <c r="F123" s="25"/>
      <c r="G123" s="25"/>
      <c r="H123" s="25"/>
    </row>
    <row r="124" ht="15.75" customHeight="1">
      <c r="A124" s="23"/>
      <c r="B124" s="45"/>
      <c r="C124" s="23"/>
      <c r="D124" s="23"/>
      <c r="E124" s="23"/>
      <c r="F124" s="23"/>
      <c r="G124" s="23"/>
      <c r="H124" s="23"/>
    </row>
    <row r="125" ht="15.75" customHeight="1">
      <c r="A125" s="25"/>
      <c r="B125" s="43"/>
      <c r="C125" s="25"/>
      <c r="D125" s="25"/>
      <c r="E125" s="25"/>
      <c r="F125" s="25"/>
      <c r="G125" s="25"/>
      <c r="H125" s="25"/>
    </row>
    <row r="126" ht="15.75" customHeight="1">
      <c r="A126" s="23"/>
      <c r="B126" s="45"/>
      <c r="C126" s="23"/>
      <c r="D126" s="23"/>
      <c r="E126" s="23"/>
      <c r="F126" s="23"/>
      <c r="G126" s="23"/>
      <c r="H126" s="23"/>
    </row>
    <row r="127" ht="15.75" customHeight="1">
      <c r="A127" s="25"/>
      <c r="B127" s="43"/>
      <c r="C127" s="25"/>
      <c r="D127" s="25"/>
      <c r="E127" s="25"/>
      <c r="F127" s="25"/>
      <c r="G127" s="25"/>
      <c r="H127" s="25"/>
    </row>
    <row r="128" ht="15.75" customHeight="1">
      <c r="A128" s="23"/>
      <c r="B128" s="45"/>
      <c r="C128" s="23"/>
      <c r="D128" s="23"/>
      <c r="E128" s="23"/>
      <c r="F128" s="23"/>
      <c r="G128" s="23"/>
      <c r="H128" s="23"/>
    </row>
    <row r="129" ht="15.75" customHeight="1">
      <c r="A129" s="25"/>
      <c r="B129" s="43"/>
      <c r="C129" s="25"/>
      <c r="D129" s="25"/>
      <c r="E129" s="25"/>
      <c r="F129" s="25"/>
      <c r="G129" s="25"/>
      <c r="H129" s="25"/>
    </row>
    <row r="130" ht="15.75" customHeight="1">
      <c r="A130" s="23"/>
      <c r="B130" s="45"/>
      <c r="C130" s="23"/>
      <c r="D130" s="23"/>
      <c r="E130" s="23"/>
      <c r="F130" s="23"/>
      <c r="G130" s="23"/>
      <c r="H130" s="23"/>
    </row>
    <row r="131" ht="15.75" customHeight="1">
      <c r="A131" s="25"/>
      <c r="B131" s="43"/>
      <c r="C131" s="25"/>
      <c r="D131" s="25"/>
      <c r="E131" s="25"/>
      <c r="F131" s="25"/>
      <c r="G131" s="25"/>
      <c r="H131" s="25"/>
    </row>
    <row r="132" ht="15.75" customHeight="1">
      <c r="A132" s="23"/>
      <c r="B132" s="45"/>
      <c r="C132" s="23"/>
      <c r="D132" s="23"/>
      <c r="E132" s="23"/>
      <c r="F132" s="23"/>
      <c r="G132" s="23"/>
      <c r="H132" s="23"/>
    </row>
    <row r="133" ht="15.75" customHeight="1">
      <c r="A133" s="25"/>
      <c r="B133" s="43"/>
      <c r="C133" s="25"/>
      <c r="D133" s="25"/>
      <c r="E133" s="25"/>
      <c r="F133" s="25"/>
      <c r="G133" s="25"/>
      <c r="H133" s="25"/>
    </row>
    <row r="134" ht="15.75" customHeight="1">
      <c r="A134" s="23"/>
      <c r="B134" s="45"/>
      <c r="C134" s="23"/>
      <c r="D134" s="23"/>
      <c r="E134" s="23"/>
      <c r="F134" s="23"/>
      <c r="G134" s="23"/>
      <c r="H134" s="23"/>
    </row>
    <row r="135" ht="15.75" customHeight="1">
      <c r="A135" s="25"/>
      <c r="B135" s="43"/>
      <c r="C135" s="25"/>
      <c r="D135" s="25"/>
      <c r="E135" s="25"/>
      <c r="F135" s="25"/>
      <c r="G135" s="25"/>
      <c r="H135" s="25"/>
    </row>
    <row r="136" ht="15.75" customHeight="1">
      <c r="A136" s="23"/>
      <c r="B136" s="45"/>
      <c r="C136" s="23"/>
      <c r="D136" s="23"/>
      <c r="E136" s="23"/>
      <c r="F136" s="23"/>
      <c r="G136" s="23"/>
      <c r="H136" s="23"/>
    </row>
    <row r="137" ht="15.75" customHeight="1">
      <c r="A137" s="25"/>
      <c r="B137" s="43"/>
      <c r="C137" s="25"/>
      <c r="D137" s="25"/>
      <c r="E137" s="25"/>
      <c r="F137" s="25"/>
      <c r="G137" s="25"/>
      <c r="H137" s="25"/>
    </row>
    <row r="138" ht="15.75" customHeight="1">
      <c r="A138" s="23"/>
      <c r="B138" s="45"/>
      <c r="C138" s="23"/>
      <c r="D138" s="23"/>
      <c r="E138" s="23"/>
      <c r="F138" s="23"/>
      <c r="G138" s="23"/>
      <c r="H138" s="23"/>
    </row>
    <row r="139" ht="15.75" customHeight="1">
      <c r="A139" s="25"/>
      <c r="B139" s="43"/>
      <c r="C139" s="25"/>
      <c r="D139" s="25"/>
      <c r="E139" s="25"/>
      <c r="F139" s="25"/>
      <c r="G139" s="25"/>
      <c r="H139" s="25"/>
    </row>
    <row r="140" ht="15.75" customHeight="1">
      <c r="A140" s="23"/>
      <c r="B140" s="45"/>
      <c r="C140" s="23"/>
      <c r="D140" s="23"/>
      <c r="E140" s="23"/>
      <c r="F140" s="23"/>
      <c r="G140" s="23"/>
      <c r="H140" s="23"/>
    </row>
    <row r="141" ht="15.75" customHeight="1">
      <c r="A141" s="25"/>
      <c r="B141" s="43"/>
      <c r="C141" s="25"/>
      <c r="D141" s="25"/>
      <c r="E141" s="25"/>
      <c r="F141" s="25"/>
      <c r="G141" s="25"/>
      <c r="H141" s="25"/>
    </row>
    <row r="142" ht="15.75" customHeight="1">
      <c r="A142" s="23"/>
      <c r="B142" s="45"/>
      <c r="C142" s="23"/>
      <c r="D142" s="23"/>
      <c r="E142" s="23"/>
      <c r="F142" s="23"/>
      <c r="G142" s="23"/>
      <c r="H142" s="23"/>
    </row>
    <row r="143" ht="15.75" customHeight="1">
      <c r="A143" s="25"/>
      <c r="B143" s="43"/>
      <c r="C143" s="25"/>
      <c r="D143" s="25"/>
      <c r="E143" s="25"/>
      <c r="F143" s="25"/>
      <c r="G143" s="25"/>
      <c r="H143" s="25"/>
    </row>
    <row r="144" ht="15.75" customHeight="1">
      <c r="A144" s="23"/>
      <c r="B144" s="45"/>
      <c r="C144" s="23"/>
      <c r="D144" s="23"/>
      <c r="E144" s="23"/>
      <c r="F144" s="23"/>
      <c r="G144" s="23"/>
      <c r="H144" s="23"/>
    </row>
    <row r="145" ht="15.75" customHeight="1">
      <c r="A145" s="25"/>
      <c r="B145" s="43"/>
      <c r="C145" s="25"/>
      <c r="D145" s="25"/>
      <c r="E145" s="25"/>
      <c r="F145" s="25"/>
      <c r="G145" s="25"/>
      <c r="H145" s="25"/>
    </row>
    <row r="146" ht="15.75" customHeight="1">
      <c r="A146" s="23"/>
      <c r="B146" s="45"/>
      <c r="C146" s="23"/>
      <c r="D146" s="23"/>
      <c r="E146" s="23"/>
      <c r="F146" s="23"/>
      <c r="G146" s="23"/>
      <c r="H146" s="23"/>
    </row>
    <row r="147" ht="15.75" customHeight="1">
      <c r="A147" s="25"/>
      <c r="B147" s="43"/>
      <c r="C147" s="25"/>
      <c r="D147" s="25"/>
      <c r="E147" s="25"/>
      <c r="F147" s="25"/>
      <c r="G147" s="25"/>
      <c r="H147" s="25"/>
    </row>
    <row r="148" ht="15.75" customHeight="1">
      <c r="A148" s="23"/>
      <c r="B148" s="45"/>
      <c r="C148" s="23"/>
      <c r="D148" s="23"/>
      <c r="E148" s="23"/>
      <c r="F148" s="23"/>
      <c r="G148" s="23"/>
      <c r="H148" s="23"/>
    </row>
    <row r="149" ht="15.75" customHeight="1">
      <c r="A149" s="25"/>
      <c r="B149" s="43"/>
      <c r="C149" s="25"/>
      <c r="D149" s="25"/>
      <c r="E149" s="25"/>
      <c r="F149" s="25"/>
      <c r="G149" s="25"/>
      <c r="H149" s="25"/>
    </row>
    <row r="150" ht="15.75" customHeight="1">
      <c r="A150" s="23"/>
      <c r="B150" s="45"/>
      <c r="C150" s="23"/>
      <c r="D150" s="23"/>
      <c r="E150" s="23"/>
      <c r="F150" s="23"/>
      <c r="G150" s="23"/>
      <c r="H150" s="23"/>
    </row>
    <row r="151" ht="15.75" customHeight="1">
      <c r="A151" s="25"/>
      <c r="B151" s="43"/>
      <c r="C151" s="25"/>
      <c r="D151" s="25"/>
      <c r="E151" s="25"/>
      <c r="F151" s="25"/>
      <c r="G151" s="25"/>
      <c r="H151" s="25"/>
    </row>
    <row r="152" ht="15.75" customHeight="1">
      <c r="A152" s="23"/>
      <c r="B152" s="45"/>
      <c r="C152" s="23"/>
      <c r="D152" s="23"/>
      <c r="E152" s="23"/>
      <c r="F152" s="23"/>
      <c r="G152" s="23"/>
      <c r="H152" s="23"/>
    </row>
    <row r="153" ht="15.75" customHeight="1">
      <c r="A153" s="25"/>
      <c r="B153" s="43"/>
      <c r="C153" s="25"/>
      <c r="D153" s="25"/>
      <c r="E153" s="25"/>
      <c r="F153" s="25"/>
      <c r="G153" s="25"/>
      <c r="H153" s="25"/>
    </row>
    <row r="154" ht="15.75" customHeight="1">
      <c r="A154" s="23"/>
      <c r="B154" s="45"/>
      <c r="C154" s="23"/>
      <c r="D154" s="23"/>
      <c r="E154" s="23"/>
      <c r="F154" s="23"/>
      <c r="G154" s="23"/>
      <c r="H154" s="23"/>
    </row>
    <row r="155" ht="15.75" customHeight="1">
      <c r="A155" s="25"/>
      <c r="B155" s="43"/>
      <c r="C155" s="25"/>
      <c r="D155" s="25"/>
      <c r="E155" s="25"/>
      <c r="F155" s="25"/>
      <c r="G155" s="25"/>
      <c r="H155" s="25"/>
    </row>
    <row r="156" ht="15.75" customHeight="1">
      <c r="A156" s="23"/>
      <c r="B156" s="45"/>
      <c r="C156" s="23"/>
      <c r="D156" s="23"/>
      <c r="E156" s="23"/>
      <c r="F156" s="23"/>
      <c r="G156" s="23"/>
      <c r="H156" s="23"/>
    </row>
    <row r="157" ht="15.75" customHeight="1">
      <c r="A157" s="25"/>
      <c r="B157" s="43"/>
      <c r="C157" s="25"/>
      <c r="D157" s="25"/>
      <c r="E157" s="25"/>
      <c r="F157" s="25"/>
      <c r="G157" s="25"/>
      <c r="H157" s="25"/>
    </row>
    <row r="158" ht="15.75" customHeight="1">
      <c r="A158" s="23"/>
      <c r="B158" s="45"/>
      <c r="C158" s="23"/>
      <c r="D158" s="23"/>
      <c r="E158" s="23"/>
      <c r="F158" s="23"/>
      <c r="G158" s="23"/>
      <c r="H158" s="23"/>
    </row>
    <row r="159" ht="15.75" customHeight="1">
      <c r="A159" s="25"/>
      <c r="B159" s="43"/>
      <c r="C159" s="25"/>
      <c r="D159" s="25"/>
      <c r="E159" s="25"/>
      <c r="F159" s="25"/>
      <c r="G159" s="25"/>
      <c r="H159" s="25"/>
    </row>
    <row r="160" ht="15.75" customHeight="1">
      <c r="A160" s="23"/>
      <c r="B160" s="45"/>
      <c r="C160" s="23"/>
      <c r="D160" s="23"/>
      <c r="E160" s="23"/>
      <c r="F160" s="23"/>
      <c r="G160" s="23"/>
      <c r="H160" s="23"/>
    </row>
    <row r="161" ht="15.75" customHeight="1">
      <c r="A161" s="25"/>
      <c r="B161" s="43"/>
      <c r="C161" s="25"/>
      <c r="D161" s="25"/>
      <c r="E161" s="25"/>
      <c r="F161" s="25"/>
      <c r="G161" s="25"/>
      <c r="H161" s="25"/>
    </row>
    <row r="162" ht="15.75" customHeight="1">
      <c r="A162" s="23"/>
      <c r="B162" s="45"/>
      <c r="C162" s="23"/>
      <c r="D162" s="23"/>
      <c r="E162" s="23"/>
      <c r="F162" s="23"/>
      <c r="G162" s="23"/>
      <c r="H162" s="23"/>
    </row>
    <row r="163" ht="15.75" customHeight="1">
      <c r="A163" s="25"/>
      <c r="B163" s="43"/>
      <c r="C163" s="25"/>
      <c r="D163" s="25"/>
      <c r="E163" s="25"/>
      <c r="F163" s="25"/>
      <c r="G163" s="25"/>
      <c r="H163" s="25"/>
    </row>
    <row r="164" ht="15.75" customHeight="1">
      <c r="A164" s="23"/>
      <c r="B164" s="45"/>
      <c r="C164" s="23"/>
      <c r="D164" s="23"/>
      <c r="E164" s="23"/>
      <c r="F164" s="23"/>
      <c r="G164" s="23"/>
      <c r="H164" s="23"/>
    </row>
    <row r="165" ht="15.75" customHeight="1">
      <c r="A165" s="25"/>
      <c r="B165" s="43"/>
      <c r="C165" s="25"/>
      <c r="D165" s="25"/>
      <c r="E165" s="25"/>
      <c r="F165" s="25"/>
      <c r="G165" s="25"/>
      <c r="H165" s="25"/>
    </row>
    <row r="166" ht="15.75" customHeight="1">
      <c r="A166" s="23"/>
      <c r="B166" s="45"/>
      <c r="C166" s="23"/>
      <c r="D166" s="23"/>
      <c r="E166" s="23"/>
      <c r="F166" s="23"/>
      <c r="G166" s="23"/>
      <c r="H166" s="23"/>
    </row>
    <row r="167" ht="15.75" customHeight="1">
      <c r="A167" s="25"/>
      <c r="B167" s="43"/>
      <c r="C167" s="25"/>
      <c r="D167" s="25"/>
      <c r="E167" s="25"/>
      <c r="F167" s="25"/>
      <c r="G167" s="25"/>
      <c r="H167" s="25"/>
    </row>
    <row r="168" ht="15.75" customHeight="1">
      <c r="A168" s="23"/>
      <c r="B168" s="45"/>
      <c r="C168" s="23"/>
      <c r="D168" s="23"/>
      <c r="E168" s="23"/>
      <c r="F168" s="23"/>
      <c r="G168" s="23"/>
      <c r="H168" s="23"/>
    </row>
    <row r="169" ht="15.75" customHeight="1">
      <c r="A169" s="25"/>
      <c r="B169" s="43"/>
      <c r="C169" s="25"/>
      <c r="D169" s="25"/>
      <c r="E169" s="25"/>
      <c r="F169" s="25"/>
      <c r="G169" s="25"/>
      <c r="H169" s="25"/>
    </row>
    <row r="170" ht="15.75" customHeight="1">
      <c r="A170" s="23"/>
      <c r="B170" s="45"/>
      <c r="C170" s="23"/>
      <c r="D170" s="23"/>
      <c r="E170" s="23"/>
      <c r="F170" s="23"/>
      <c r="G170" s="23"/>
      <c r="H170" s="23"/>
    </row>
    <row r="171" ht="15.75" customHeight="1">
      <c r="A171" s="25"/>
      <c r="B171" s="43"/>
      <c r="C171" s="25"/>
      <c r="D171" s="25"/>
      <c r="E171" s="25"/>
      <c r="F171" s="25"/>
      <c r="G171" s="25"/>
      <c r="H171" s="25"/>
    </row>
    <row r="172" ht="15.75" customHeight="1">
      <c r="A172" s="23"/>
      <c r="B172" s="45"/>
      <c r="C172" s="23"/>
      <c r="D172" s="23"/>
      <c r="E172" s="23"/>
      <c r="F172" s="23"/>
      <c r="G172" s="23"/>
      <c r="H172" s="23"/>
    </row>
    <row r="173" ht="15.75" customHeight="1">
      <c r="A173" s="25"/>
      <c r="B173" s="43"/>
      <c r="C173" s="25"/>
      <c r="D173" s="25"/>
      <c r="E173" s="25"/>
      <c r="F173" s="25"/>
      <c r="G173" s="25"/>
      <c r="H173" s="25"/>
    </row>
    <row r="174" ht="15.75" customHeight="1">
      <c r="A174" s="23"/>
      <c r="B174" s="45"/>
      <c r="C174" s="23"/>
      <c r="D174" s="23"/>
      <c r="E174" s="23"/>
      <c r="F174" s="23"/>
      <c r="G174" s="23"/>
      <c r="H174" s="23"/>
    </row>
    <row r="175" ht="15.75" customHeight="1">
      <c r="A175" s="25"/>
      <c r="B175" s="43"/>
      <c r="C175" s="25"/>
      <c r="D175" s="25"/>
      <c r="E175" s="25"/>
      <c r="F175" s="25"/>
      <c r="G175" s="25"/>
      <c r="H175" s="25"/>
    </row>
    <row r="176" ht="15.75" customHeight="1">
      <c r="A176" s="23"/>
      <c r="B176" s="45"/>
      <c r="C176" s="23"/>
      <c r="D176" s="23"/>
      <c r="E176" s="23"/>
      <c r="F176" s="23"/>
      <c r="G176" s="23"/>
      <c r="H176" s="23"/>
    </row>
    <row r="177" ht="15.75" customHeight="1">
      <c r="A177" s="25"/>
      <c r="B177" s="43"/>
      <c r="C177" s="25"/>
      <c r="D177" s="25"/>
      <c r="E177" s="25"/>
      <c r="F177" s="25"/>
      <c r="G177" s="25"/>
      <c r="H177" s="25"/>
    </row>
    <row r="178" ht="15.75" customHeight="1">
      <c r="A178" s="23"/>
      <c r="B178" s="45"/>
      <c r="C178" s="23"/>
      <c r="D178" s="23"/>
      <c r="E178" s="23"/>
      <c r="F178" s="23"/>
      <c r="G178" s="23"/>
      <c r="H178" s="23"/>
    </row>
    <row r="179" ht="15.75" customHeight="1">
      <c r="A179" s="25"/>
      <c r="B179" s="43"/>
      <c r="C179" s="25"/>
      <c r="D179" s="25"/>
      <c r="E179" s="25"/>
      <c r="F179" s="25"/>
      <c r="G179" s="25"/>
      <c r="H179" s="25"/>
    </row>
    <row r="180" ht="15.75" customHeight="1">
      <c r="A180" s="23"/>
      <c r="B180" s="45"/>
      <c r="C180" s="23"/>
      <c r="D180" s="23"/>
      <c r="E180" s="23"/>
      <c r="F180" s="23"/>
      <c r="G180" s="23"/>
      <c r="H180" s="23"/>
    </row>
    <row r="181" ht="15.75" customHeight="1">
      <c r="A181" s="25"/>
      <c r="B181" s="43"/>
      <c r="C181" s="25"/>
      <c r="D181" s="25"/>
      <c r="E181" s="25"/>
      <c r="F181" s="25"/>
      <c r="G181" s="25"/>
      <c r="H181" s="25"/>
    </row>
    <row r="182" ht="15.75" customHeight="1">
      <c r="A182" s="23"/>
      <c r="B182" s="45"/>
      <c r="C182" s="23"/>
      <c r="D182" s="23"/>
      <c r="E182" s="23"/>
      <c r="F182" s="23"/>
      <c r="G182" s="23"/>
      <c r="H182" s="23"/>
    </row>
    <row r="183" ht="15.75" customHeight="1">
      <c r="A183" s="25"/>
      <c r="B183" s="43"/>
      <c r="C183" s="25"/>
      <c r="D183" s="25"/>
      <c r="E183" s="25"/>
      <c r="F183" s="25"/>
      <c r="G183" s="25"/>
      <c r="H183" s="25"/>
    </row>
    <row r="184" ht="15.75" customHeight="1">
      <c r="A184" s="23"/>
      <c r="B184" s="45"/>
      <c r="C184" s="23"/>
      <c r="D184" s="23"/>
      <c r="E184" s="23"/>
      <c r="F184" s="23"/>
      <c r="G184" s="23"/>
      <c r="H184" s="23"/>
    </row>
    <row r="185" ht="15.75" customHeight="1">
      <c r="A185" s="25"/>
      <c r="B185" s="43"/>
      <c r="C185" s="25"/>
      <c r="D185" s="25"/>
      <c r="E185" s="25"/>
      <c r="F185" s="25"/>
      <c r="G185" s="25"/>
      <c r="H185" s="25"/>
    </row>
    <row r="186" ht="15.75" customHeight="1">
      <c r="A186" s="23"/>
      <c r="B186" s="45"/>
      <c r="C186" s="23"/>
      <c r="D186" s="23"/>
      <c r="E186" s="23"/>
      <c r="F186" s="23"/>
      <c r="G186" s="23"/>
      <c r="H186" s="23"/>
    </row>
    <row r="187" ht="15.75" customHeight="1">
      <c r="A187" s="25"/>
      <c r="B187" s="43"/>
      <c r="C187" s="25"/>
      <c r="D187" s="25"/>
      <c r="E187" s="25"/>
      <c r="F187" s="25"/>
      <c r="G187" s="25"/>
      <c r="H187" s="25"/>
    </row>
    <row r="188" ht="15.75" customHeight="1">
      <c r="A188" s="23"/>
      <c r="B188" s="45"/>
      <c r="C188" s="23"/>
      <c r="D188" s="23"/>
      <c r="E188" s="23"/>
      <c r="F188" s="23"/>
      <c r="G188" s="23"/>
      <c r="H188" s="23"/>
    </row>
    <row r="189" ht="15.75" customHeight="1">
      <c r="A189" s="25"/>
      <c r="B189" s="43"/>
      <c r="C189" s="25"/>
      <c r="D189" s="25"/>
      <c r="E189" s="25"/>
      <c r="F189" s="25"/>
      <c r="G189" s="25"/>
      <c r="H189" s="25"/>
    </row>
    <row r="190" ht="15.75" customHeight="1">
      <c r="A190" s="23"/>
      <c r="B190" s="45"/>
      <c r="C190" s="23"/>
      <c r="D190" s="23"/>
      <c r="E190" s="23"/>
      <c r="F190" s="23"/>
      <c r="G190" s="23"/>
      <c r="H190" s="23"/>
    </row>
    <row r="191" ht="15.75" customHeight="1">
      <c r="A191" s="25"/>
      <c r="B191" s="43"/>
      <c r="C191" s="25"/>
      <c r="D191" s="25"/>
      <c r="E191" s="25"/>
      <c r="F191" s="25"/>
      <c r="G191" s="25"/>
      <c r="H191" s="25"/>
    </row>
    <row r="192" ht="15.75" customHeight="1">
      <c r="A192" s="23"/>
      <c r="B192" s="45"/>
      <c r="C192" s="23"/>
      <c r="D192" s="23"/>
      <c r="E192" s="23"/>
      <c r="F192" s="23"/>
      <c r="G192" s="23"/>
      <c r="H192" s="23"/>
    </row>
    <row r="193" ht="15.75" customHeight="1">
      <c r="A193" s="25"/>
      <c r="B193" s="43"/>
      <c r="C193" s="25"/>
      <c r="D193" s="25"/>
      <c r="E193" s="25"/>
      <c r="F193" s="25"/>
      <c r="G193" s="25"/>
      <c r="H193" s="25"/>
    </row>
    <row r="194" ht="15.75" customHeight="1">
      <c r="A194" s="23"/>
      <c r="B194" s="45"/>
      <c r="C194" s="23"/>
      <c r="D194" s="23"/>
      <c r="E194" s="23"/>
      <c r="F194" s="23"/>
      <c r="G194" s="23"/>
      <c r="H194" s="23"/>
    </row>
    <row r="195" ht="15.75" customHeight="1">
      <c r="A195" s="25"/>
      <c r="B195" s="43"/>
      <c r="C195" s="25"/>
      <c r="D195" s="25"/>
      <c r="E195" s="25"/>
      <c r="F195" s="25"/>
      <c r="G195" s="25"/>
      <c r="H195" s="25"/>
    </row>
    <row r="196" ht="15.75" customHeight="1">
      <c r="A196" s="23"/>
      <c r="B196" s="45"/>
      <c r="C196" s="23"/>
      <c r="D196" s="23"/>
      <c r="E196" s="23"/>
      <c r="F196" s="23"/>
      <c r="G196" s="23"/>
      <c r="H196" s="23"/>
    </row>
    <row r="197" ht="15.75" customHeight="1">
      <c r="A197" s="25"/>
      <c r="B197" s="43"/>
      <c r="C197" s="25"/>
      <c r="D197" s="25"/>
      <c r="E197" s="25"/>
      <c r="F197" s="25"/>
      <c r="G197" s="25"/>
      <c r="H197" s="25"/>
    </row>
    <row r="198" ht="15.75" customHeight="1">
      <c r="A198" s="23"/>
      <c r="B198" s="45"/>
      <c r="C198" s="23"/>
      <c r="D198" s="23"/>
      <c r="E198" s="23"/>
      <c r="F198" s="23"/>
      <c r="G198" s="23"/>
      <c r="H198" s="23"/>
    </row>
    <row r="199" ht="15.75" customHeight="1">
      <c r="A199" s="25"/>
      <c r="B199" s="43"/>
      <c r="C199" s="25"/>
      <c r="D199" s="25"/>
      <c r="E199" s="25"/>
      <c r="F199" s="25"/>
      <c r="G199" s="25"/>
      <c r="H199" s="25"/>
    </row>
    <row r="200" ht="15.75" customHeight="1">
      <c r="A200" s="23"/>
      <c r="B200" s="45"/>
      <c r="C200" s="23"/>
      <c r="D200" s="23"/>
      <c r="E200" s="23"/>
      <c r="F200" s="23"/>
      <c r="G200" s="23"/>
      <c r="H200" s="23"/>
    </row>
    <row r="201" ht="15.75" customHeight="1">
      <c r="A201" s="25"/>
      <c r="B201" s="43"/>
      <c r="C201" s="25"/>
      <c r="D201" s="25"/>
      <c r="E201" s="25"/>
      <c r="F201" s="25"/>
      <c r="G201" s="25"/>
      <c r="H201" s="25"/>
    </row>
    <row r="202" ht="15.75" customHeight="1">
      <c r="A202" s="23"/>
      <c r="B202" s="45"/>
      <c r="C202" s="23"/>
      <c r="D202" s="23"/>
      <c r="E202" s="23"/>
      <c r="F202" s="23"/>
      <c r="G202" s="23"/>
      <c r="H202" s="23"/>
    </row>
    <row r="203" ht="15.75" customHeight="1">
      <c r="A203" s="25"/>
      <c r="B203" s="43"/>
      <c r="C203" s="25"/>
      <c r="D203" s="25"/>
      <c r="E203" s="25"/>
      <c r="F203" s="25"/>
      <c r="G203" s="25"/>
      <c r="H203" s="25"/>
    </row>
    <row r="204" ht="15.75" customHeight="1">
      <c r="A204" s="23"/>
      <c r="B204" s="45"/>
      <c r="C204" s="23"/>
      <c r="D204" s="23"/>
      <c r="E204" s="23"/>
      <c r="F204" s="23"/>
      <c r="G204" s="23"/>
      <c r="H204" s="23"/>
    </row>
    <row r="205" ht="15.75" customHeight="1">
      <c r="A205" s="25"/>
      <c r="B205" s="43"/>
      <c r="C205" s="25"/>
      <c r="D205" s="25"/>
      <c r="E205" s="25"/>
      <c r="F205" s="25"/>
      <c r="G205" s="25"/>
      <c r="H205" s="25"/>
    </row>
    <row r="206" ht="15.75" customHeight="1">
      <c r="A206" s="23"/>
      <c r="B206" s="45"/>
      <c r="C206" s="23"/>
      <c r="D206" s="23"/>
      <c r="E206" s="23"/>
      <c r="F206" s="23"/>
      <c r="G206" s="23"/>
      <c r="H206" s="23"/>
    </row>
    <row r="207" ht="15.75" customHeight="1">
      <c r="A207" s="25"/>
      <c r="B207" s="43"/>
      <c r="C207" s="25"/>
      <c r="D207" s="25"/>
      <c r="E207" s="25"/>
      <c r="F207" s="25"/>
      <c r="G207" s="25"/>
      <c r="H207" s="25"/>
    </row>
    <row r="208" ht="15.75" customHeight="1">
      <c r="A208" s="23"/>
      <c r="B208" s="45"/>
      <c r="C208" s="23"/>
      <c r="D208" s="23"/>
      <c r="E208" s="23"/>
      <c r="F208" s="23"/>
      <c r="G208" s="23"/>
      <c r="H208" s="23"/>
    </row>
    <row r="209" ht="15.75" customHeight="1">
      <c r="A209" s="25"/>
      <c r="B209" s="43"/>
      <c r="C209" s="25"/>
      <c r="D209" s="25"/>
      <c r="E209" s="25"/>
      <c r="F209" s="25"/>
      <c r="G209" s="25"/>
      <c r="H209" s="25"/>
    </row>
    <row r="210" ht="15.75" customHeight="1">
      <c r="A210" s="23"/>
      <c r="B210" s="45"/>
      <c r="C210" s="23"/>
      <c r="D210" s="23"/>
      <c r="E210" s="23"/>
      <c r="F210" s="23"/>
      <c r="G210" s="23"/>
      <c r="H210" s="23"/>
    </row>
    <row r="211" ht="15.75" customHeight="1">
      <c r="A211" s="25"/>
      <c r="B211" s="43"/>
      <c r="C211" s="25"/>
      <c r="D211" s="25"/>
      <c r="E211" s="25"/>
      <c r="F211" s="25"/>
      <c r="G211" s="25"/>
      <c r="H211" s="25"/>
    </row>
    <row r="212" ht="15.75" customHeight="1">
      <c r="A212" s="23"/>
      <c r="B212" s="45"/>
      <c r="C212" s="23"/>
      <c r="D212" s="23"/>
      <c r="E212" s="23"/>
      <c r="F212" s="23"/>
      <c r="G212" s="23"/>
      <c r="H212" s="23"/>
    </row>
    <row r="213" ht="15.75" customHeight="1">
      <c r="A213" s="25"/>
      <c r="B213" s="43"/>
      <c r="C213" s="25"/>
      <c r="D213" s="25"/>
      <c r="E213" s="25"/>
      <c r="F213" s="25"/>
      <c r="G213" s="25"/>
      <c r="H213" s="25"/>
    </row>
    <row r="214" ht="15.75" customHeight="1">
      <c r="A214" s="23"/>
      <c r="B214" s="45"/>
      <c r="C214" s="23"/>
      <c r="D214" s="23"/>
      <c r="E214" s="23"/>
      <c r="F214" s="23"/>
      <c r="G214" s="23"/>
      <c r="H214" s="23"/>
    </row>
    <row r="215" ht="15.75" customHeight="1">
      <c r="A215" s="25"/>
      <c r="B215" s="43"/>
      <c r="C215" s="25"/>
      <c r="D215" s="25"/>
      <c r="E215" s="25"/>
      <c r="F215" s="25"/>
      <c r="G215" s="25"/>
      <c r="H215" s="25"/>
    </row>
    <row r="216" ht="15.75" customHeight="1">
      <c r="A216" s="23"/>
      <c r="B216" s="45"/>
      <c r="C216" s="23"/>
      <c r="D216" s="23"/>
      <c r="E216" s="23"/>
      <c r="F216" s="23"/>
      <c r="G216" s="23"/>
      <c r="H216" s="23"/>
    </row>
    <row r="217" ht="15.75" customHeight="1">
      <c r="A217" s="25"/>
      <c r="B217" s="43"/>
      <c r="C217" s="25"/>
      <c r="D217" s="25"/>
      <c r="E217" s="25"/>
      <c r="F217" s="25"/>
      <c r="G217" s="25"/>
      <c r="H217" s="25"/>
    </row>
    <row r="218" ht="15.75" customHeight="1">
      <c r="A218" s="23"/>
      <c r="B218" s="45"/>
      <c r="C218" s="23"/>
      <c r="D218" s="23"/>
      <c r="E218" s="23"/>
      <c r="F218" s="23"/>
      <c r="G218" s="23"/>
      <c r="H218" s="23"/>
    </row>
    <row r="219" ht="15.75" customHeight="1">
      <c r="A219" s="25"/>
      <c r="B219" s="43"/>
      <c r="C219" s="25"/>
      <c r="D219" s="25"/>
      <c r="E219" s="25"/>
      <c r="F219" s="25"/>
      <c r="G219" s="25"/>
      <c r="H219" s="25"/>
    </row>
    <row r="220" ht="15.75" customHeight="1">
      <c r="A220" s="23"/>
      <c r="B220" s="45"/>
      <c r="C220" s="23"/>
      <c r="D220" s="23"/>
      <c r="E220" s="23"/>
      <c r="F220" s="23"/>
      <c r="G220" s="23"/>
      <c r="H220" s="2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96"/>
  <printOptions/>
  <pageMargins bottom="0.75" footer="0.0" header="0.0" left="0.7" right="0.7" top="0.75"/>
  <pageSetup orientation="landscape"/>
  <drawing r:id="rId1"/>
</worksheet>
</file>